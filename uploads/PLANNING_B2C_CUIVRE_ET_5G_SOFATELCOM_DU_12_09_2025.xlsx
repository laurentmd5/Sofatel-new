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8340"/>
  </bookViews>
  <sheets>
    <sheet name="ADSL" sheetId="1" r:id="rId1"/>
    <sheet name="5G" sheetId="2" r:id="rId2"/>
  </sheets>
  <definedNames>
    <definedName name="_xlnm._FilterDatabase" localSheetId="1" hidden="1">'5G'!$A$1:$AA$43</definedName>
    <definedName name="_xlnm._FilterDatabase" localSheetId="0" hidden="1">ADSL!$A$1:$AG$40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1" l="1"/>
  <c r="H37" i="1"/>
  <c r="H36" i="1"/>
  <c r="H35" i="1"/>
  <c r="H34" i="1"/>
</calcChain>
</file>

<file path=xl/sharedStrings.xml><?xml version="1.0" encoding="utf-8"?>
<sst xmlns="http://schemas.openxmlformats.org/spreadsheetml/2006/main" count="1312" uniqueCount="396">
  <si>
    <t>CRAC</t>
  </si>
  <si>
    <t>CR</t>
  </si>
  <si>
    <t>SR             </t>
  </si>
  <si>
    <t>NCLI</t>
  </si>
  <si>
    <t>DEMANDE</t>
  </si>
  <si>
    <t>AGE</t>
  </si>
  <si>
    <t>DMR</t>
  </si>
  <si>
    <t>TRANCHE AGE</t>
  </si>
  <si>
    <t>ACCES                                             </t>
  </si>
  <si>
    <t>ND             </t>
  </si>
  <si>
    <t>OPER</t>
  </si>
  <si>
    <t>SOUS TRAITANT</t>
  </si>
  <si>
    <t>EQUIPE</t>
  </si>
  <si>
    <t>CONTACT</t>
  </si>
  <si>
    <t>RETOUR ST</t>
  </si>
  <si>
    <t>PILOTE SONATEL</t>
  </si>
  <si>
    <t>TACHE </t>
  </si>
  <si>
    <t>RBS</t>
  </si>
  <si>
    <t>DATE INTERVENTION</t>
  </si>
  <si>
    <t>DATE VA </t>
  </si>
  <si>
    <t>DATMODIF</t>
  </si>
  <si>
    <t>ETAT</t>
  </si>
  <si>
    <t>MARCHE                                  </t>
  </si>
  <si>
    <t>SEGMENT                       </t>
  </si>
  <si>
    <t>ADRESSE_INSTALL                                                                                                                                                                                         </t>
  </si>
  <si>
    <t>COMMENT_MOTIF                                                                                       </t>
  </si>
  <si>
    <t>DATCOMME</t>
  </si>
  <si>
    <t>USER_COMMENTAIRE1_ROTL        </t>
  </si>
  <si>
    <t>COMMENTAIRE1_ROTL                       </t>
  </si>
  <si>
    <t>COMPLEMENT2_ROTL                                                                                    </t>
  </si>
  <si>
    <t>CONTACT_MOB</t>
  </si>
  <si>
    <t>KLK</t>
  </si>
  <si>
    <t>NDO</t>
  </si>
  <si>
    <t>KLK_NDO</t>
  </si>
  <si>
    <t xml:space="preserve">NDO_A00        </t>
  </si>
  <si>
    <t>Dans les délais</t>
  </si>
  <si>
    <t xml:space="preserve">Keurgui_IP                                        </t>
  </si>
  <si>
    <t xml:space="preserve">NA  </t>
  </si>
  <si>
    <t>Sofatelcom</t>
  </si>
  <si>
    <t>A Installer</t>
  </si>
  <si>
    <t>ACTIF</t>
  </si>
  <si>
    <t xml:space="preserve">VA  </t>
  </si>
  <si>
    <t xml:space="preserve">GRAND_PUBLIC                            </t>
  </si>
  <si>
    <t xml:space="preserve">PARTICULIER 1                 </t>
  </si>
  <si>
    <t xml:space="preserve">DRAME FAMA                              </t>
  </si>
  <si>
    <t xml:space="preserve">NDOFFANE -   . - LEONA - NDOFFANE - -%NON LOIN SONADIS                                                                                                                                                                      </t>
  </si>
  <si>
    <t xml:space="preserve">NA ADSL PVT ID                                                                                      </t>
  </si>
  <si>
    <t xml:space="preserve">tmp_seck88751                 </t>
  </si>
  <si>
    <t xml:space="preserve">ELIGIBLE                                </t>
  </si>
  <si>
    <t xml:space="preserve">ELIGIBLE Offre ADSL 2 MegaMax Keurgui                                                               </t>
  </si>
  <si>
    <t>THS</t>
  </si>
  <si>
    <t>TDY</t>
  </si>
  <si>
    <t>THS_TDY</t>
  </si>
  <si>
    <t xml:space="preserve">TDY_A00        </t>
  </si>
  <si>
    <t xml:space="preserve">NDIAYE DIODIO                           </t>
  </si>
  <si>
    <t xml:space="preserve">MBOUR -   . - VILLAGE DE THIADIAYE - MBOUR - -%20                                                                                                                                                                           </t>
  </si>
  <si>
    <t xml:space="preserve">NA ADSL KEURGUI / PMS CHEIKH DRAME / CHEIKH                                                         </t>
  </si>
  <si>
    <t xml:space="preserve">        </t>
  </si>
  <si>
    <t xml:space="preserve">                              </t>
  </si>
  <si>
    <t xml:space="preserve">                                        </t>
  </si>
  <si>
    <t xml:space="preserve">                                                                                                    </t>
  </si>
  <si>
    <t>GEO</t>
  </si>
  <si>
    <t>KLK_GEO</t>
  </si>
  <si>
    <t xml:space="preserve">GEO_A00        </t>
  </si>
  <si>
    <t xml:space="preserve">DIOUF NENE                              </t>
  </si>
  <si>
    <t xml:space="preserve">GUINGUENEO -   . - GUINGUINEO - GUINGUENEO - -A COTE GENDARMERIE                                                                                                                                                            </t>
  </si>
  <si>
    <t xml:space="preserve">NA KEURGUI 2MEGA CONTACT=777214929 VTO MOR                                                          </t>
  </si>
  <si>
    <t xml:space="preserve">tmp_diagne71644               </t>
  </si>
  <si>
    <t>FOU</t>
  </si>
  <si>
    <t>KLK_FOU</t>
  </si>
  <si>
    <t xml:space="preserve">FOU_A01        </t>
  </si>
  <si>
    <t xml:space="preserve">KEURGUI ADSL 4MBITS                               </t>
  </si>
  <si>
    <t xml:space="preserve">THIOR BABACAR                           </t>
  </si>
  <si>
    <t xml:space="preserve">FOUNDIOUGNE -   . - MBELGORE - FOUNDIOUGNE - -%201345  FOUNDIOUGNE MBELGORE                                                                                                                                                 </t>
  </si>
  <si>
    <t xml:space="preserve">SM10 OVTO -  \ DRV EST \ PVT MADY SARR ZONE FATICK \ BABACAR  SARR  \ ADSL                          </t>
  </si>
  <si>
    <t xml:space="preserve">tmp_sagna75124                </t>
  </si>
  <si>
    <t xml:space="preserve">ELIGIBLE Offre ADSL 4 Mega Keurgui                                                                  </t>
  </si>
  <si>
    <t>ACP</t>
  </si>
  <si>
    <t>TIA</t>
  </si>
  <si>
    <t>ACP_TIA</t>
  </si>
  <si>
    <t xml:space="preserve">TIA_E31        </t>
  </si>
  <si>
    <t xml:space="preserve">PARTICULIER 2                 </t>
  </si>
  <si>
    <t xml:space="preserve">SARR IBRAHIMA                           </t>
  </si>
  <si>
    <t xml:space="preserve">DIAMAGUENE - DIACKSAO -   ABDOU NDIAYE - ABDOU NDIAYE - DIAMAGUENE - DIACKSAO - CTC 774363171/781163560-VS 338344534                                                                                                        </t>
  </si>
  <si>
    <t xml:space="preserve">tmp_ndiaye89822               </t>
  </si>
  <si>
    <t>JOA</t>
  </si>
  <si>
    <t>THS_JOA</t>
  </si>
  <si>
    <t xml:space="preserve">JOA_A01        </t>
  </si>
  <si>
    <t xml:space="preserve">SARR PAPE ARFANG AD                     </t>
  </si>
  <si>
    <t xml:space="preserve">JOAL-FADIOUTH_COMMUNE -   SANTHIE 3 - SANTHIE 3 - JOAL-FADIOUTH_COMMUNE - -                                                                                                                                                 </t>
  </si>
  <si>
    <t>KLK_KLK</t>
  </si>
  <si>
    <t xml:space="preserve">KLK_A14        </t>
  </si>
  <si>
    <t xml:space="preserve">LAM OUMOU                               </t>
  </si>
  <si>
    <t xml:space="preserve">KAOLACK -   . - KAOLACK VILLE - KAOLACK - -                                                                                                                                                                                 </t>
  </si>
  <si>
    <t xml:space="preserve">Ibrahima DIALLO/ABDOU KHADIR MBOUP/NA FIBRE                                                         </t>
  </si>
  <si>
    <t xml:space="preserve">KLK_A16        </t>
  </si>
  <si>
    <t xml:space="preserve">AIDARA MOHAMED                          </t>
  </si>
  <si>
    <t xml:space="preserve">KAOLACK -   . - MEDINA BAYE NIASS - KAOLACK - pc A07 D8 A13-ct 776109086                                                                                                                                                    </t>
  </si>
  <si>
    <t xml:space="preserve">REB MI FLYBOX VERS KEURGUI // CAS-103096774-C0P7G2                                                  </t>
  </si>
  <si>
    <t xml:space="preserve">tmp_dabo90148                 </t>
  </si>
  <si>
    <t>NGH</t>
  </si>
  <si>
    <t>THS_NGH</t>
  </si>
  <si>
    <t xml:space="preserve">NGH_A00        </t>
  </si>
  <si>
    <t xml:space="preserve">NDIAYE PAPA                             </t>
  </si>
  <si>
    <t xml:space="preserve">MBOUR -   . - VILLAGE DE NGUEKHOKH - MBOUR - CTC 778486990 // 789060925-                                                                                                                                                    </t>
  </si>
  <si>
    <t xml:space="preserve">ACHAT // CAS-103138168-Z2L7H6 // NA KEURGUI VIA KIBARU                                              </t>
  </si>
  <si>
    <t xml:space="preserve">traceis                       </t>
  </si>
  <si>
    <t xml:space="preserve">ATTENTE ETUDE SUR SITE                  </t>
  </si>
  <si>
    <t xml:space="preserve">ETUDE TERRAIN EN COURS                                                                              </t>
  </si>
  <si>
    <t>SLY</t>
  </si>
  <si>
    <t>THS_SLY</t>
  </si>
  <si>
    <t xml:space="preserve">SLY_C04        </t>
  </si>
  <si>
    <t xml:space="preserve">TALL THILO                              </t>
  </si>
  <si>
    <t xml:space="preserve">MBOUR -   . - MBOUR VILLE - MBOUR - -%202  NON LOIN ECOLE ELEMENTAI                                                                                                                                                         </t>
  </si>
  <si>
    <t xml:space="preserve">ACHAT//CAS-103254753-P5T6D6// NA KEURGUI 4MG                                                        </t>
  </si>
  <si>
    <t xml:space="preserve">SAMB MOR                                </t>
  </si>
  <si>
    <t xml:space="preserve">MBOUR -   . - MBOUR VILLE - MBOUR - -CTC 781046971/762365620                                                                                                                                                                </t>
  </si>
  <si>
    <t xml:space="preserve">KIBARU/CAS-103243882-P7M0W4/NA KEURGUI 4MG                                                          </t>
  </si>
  <si>
    <t>NGN</t>
  </si>
  <si>
    <t>KLK_NGN</t>
  </si>
  <si>
    <t xml:space="preserve">NGN_A00        </t>
  </si>
  <si>
    <t xml:space="preserve">TIREIRA MAMA BINETA                     </t>
  </si>
  <si>
    <t xml:space="preserve">KAOLACK -   . - NDANGANE - KAOLACK - CTC 781152795-                                                                                                                                                                         </t>
  </si>
  <si>
    <t xml:space="preserve">REB NA KEURGUI // CAS-103178868-H3G8M2                                                              </t>
  </si>
  <si>
    <t>FAT</t>
  </si>
  <si>
    <t>KLK_FAT</t>
  </si>
  <si>
    <t xml:space="preserve">FAT_A01        </t>
  </si>
  <si>
    <t xml:space="preserve">DIOUF OMAR                              </t>
  </si>
  <si>
    <t xml:space="preserve">FATICK -   NDOUCK FATICK - NDOUCK - FATICK - -FATICK NDOUCK                                                                                                                                                                 </t>
  </si>
  <si>
    <t xml:space="preserve">DRV CENTRE \ SALY-MBOUR \ TOUBA NDIAPANDAL \ ASSANE NDIAYE \ ADSL                                   </t>
  </si>
  <si>
    <t>KAF</t>
  </si>
  <si>
    <t>KLK_KAF</t>
  </si>
  <si>
    <t xml:space="preserve">KAF_A01        </t>
  </si>
  <si>
    <t xml:space="preserve">MBODJI OUSMANE                          </t>
  </si>
  <si>
    <t xml:space="preserve">KAFFRINE -   PEYE MBAMBA - PEYE MBAMBA - KAFFRINE - -                                                                                                                                                                       </t>
  </si>
  <si>
    <t xml:space="preserve">NA KEURGUI 2MEGA CONTACT=775430876                                                                  </t>
  </si>
  <si>
    <t xml:space="preserve">tmp_diagne77861               </t>
  </si>
  <si>
    <t xml:space="preserve">THIAW MAMADOU                           </t>
  </si>
  <si>
    <t xml:space="preserve">FATICK_FIMELA -   VILLAGE NDANGANE - VILLAGE DE NDANGANE - FATICK_FIMELA - CT 776500463-                                                                                                                                    </t>
  </si>
  <si>
    <t xml:space="preserve">ACHATCAS-103454715-X2Q2C7//MI BOX 338870104 VERS KEURGUI                                            </t>
  </si>
  <si>
    <t>KMD</t>
  </si>
  <si>
    <t>KLK_KMD</t>
  </si>
  <si>
    <t xml:space="preserve">KMD_A00        </t>
  </si>
  <si>
    <t xml:space="preserve">KEBE DEMBA                              </t>
  </si>
  <si>
    <t xml:space="preserve">KAOLACK -   . - KAOLACK VILLE - KAOLACK - CTC 774419247-                                                                                                                                                                    </t>
  </si>
  <si>
    <t xml:space="preserve">KIBARU / CAS-103483845-M3L2T6 / NA KEURGUI                                                          </t>
  </si>
  <si>
    <t>NGD</t>
  </si>
  <si>
    <t>KLK_NGD</t>
  </si>
  <si>
    <t xml:space="preserve">NGD_A00        </t>
  </si>
  <si>
    <t xml:space="preserve">Keurgui_Max_IP                                    </t>
  </si>
  <si>
    <t xml:space="preserve">CISSE MADY KHOTHIO                      </t>
  </si>
  <si>
    <t xml:space="preserve">KAFFRINE -   . - VILLAGE DE NGANDA - KAFFRINE - -                                                                                                                                                                           </t>
  </si>
  <si>
    <t xml:space="preserve">REBOND NA KEURGUI MAX                                                                               </t>
  </si>
  <si>
    <t xml:space="preserve">ELIGIBLE Offre ADSL 8 MegaMax Keurgui_MAX                                                           </t>
  </si>
  <si>
    <t xml:space="preserve">TIA_E41        </t>
  </si>
  <si>
    <t xml:space="preserve">DIAGNE FATOU                            </t>
  </si>
  <si>
    <t xml:space="preserve">THIAROYE -   . - SAM SAM I - THIAROYE -  A COTE DU Grande Mosqu馥 Sam Sam 1-                                                                                                                                                </t>
  </si>
  <si>
    <t xml:space="preserve">REBOND // CAS-101477442-S7W6X8 // NA KEURGUI                                                        </t>
  </si>
  <si>
    <t>KOU</t>
  </si>
  <si>
    <t>KLK_KOU</t>
  </si>
  <si>
    <t xml:space="preserve">KOU_A00        </t>
  </si>
  <si>
    <t xml:space="preserve">KONATE IBRAHIMA                         </t>
  </si>
  <si>
    <t xml:space="preserve">KOUNGHEUL -   SANTHIE - SANTHIE - KOUNGHEUL - -                                                                                                                                                                             </t>
  </si>
  <si>
    <t xml:space="preserve">NA KEURGUI                                                                                          </t>
  </si>
  <si>
    <t xml:space="preserve">TIA_E07        </t>
  </si>
  <si>
    <t xml:space="preserve">SOW MATY                                </t>
  </si>
  <si>
    <t xml:space="preserve">THIAROYE AZUR -   . - THIAROYE AZUR - THIAROYE AZUR - -%20INC                                                                                                                                                               </t>
  </si>
  <si>
    <t xml:space="preserve">tmp_diaw84646                 </t>
  </si>
  <si>
    <t xml:space="preserve">TECH_Suspens_Prod_Simple(10J)           </t>
  </si>
  <si>
    <t xml:space="preserve">VOIP NOK                                                                                            </t>
  </si>
  <si>
    <t xml:space="preserve">KLK_A09        </t>
  </si>
  <si>
    <t xml:space="preserve">                                                  </t>
  </si>
  <si>
    <t xml:space="preserve">MC  </t>
  </si>
  <si>
    <t xml:space="preserve">SALL MOUSTAPHA                          </t>
  </si>
  <si>
    <t xml:space="preserve">KAOLACK -   . - DIALEGNE - KAOLACK - COTE JUMA BAMBARA-CTC 771562747 / 776249051                                                                                                                                            </t>
  </si>
  <si>
    <t xml:space="preserve">DEPLACEMENT DE PRISE                                                                                </t>
  </si>
  <si>
    <t xml:space="preserve">JOA_A00        </t>
  </si>
  <si>
    <t xml:space="preserve">CISSE MARIAMA                           </t>
  </si>
  <si>
    <t xml:space="preserve">JOAL-FADIOUTH_COMMUNE -   SANTHIE 1 - SANTHIE 1 - JOAL-FADIOUTH_COMMUNE - -                                                                                                                                                 </t>
  </si>
  <si>
    <t xml:space="preserve">NA KEURGUI /PMS CHEIKH DRAME                                                                        </t>
  </si>
  <si>
    <t xml:space="preserve">DIOP ELHADJI M NDIA                     </t>
  </si>
  <si>
    <t xml:space="preserve">MBOUR -   . - MEDINA GOUNASS MBOUR - MBOUR - CTC 776505513-                                                                                                                                                                 </t>
  </si>
  <si>
    <t xml:space="preserve">NA ADSL                                                                                             </t>
  </si>
  <si>
    <t xml:space="preserve">NDIAYE CHEIKH AHMADOU                   </t>
  </si>
  <si>
    <t xml:space="preserve">KAFFRINE -   KAFFRINE 2 - KAFFRINE 2 - KAFFRINE - -                                                                                                                                                                         </t>
  </si>
  <si>
    <t xml:space="preserve">NA KEURGUI 2MEGA CONTACT=755211732                                                                  </t>
  </si>
  <si>
    <t>NIO</t>
  </si>
  <si>
    <t>KLK_NIO</t>
  </si>
  <si>
    <t xml:space="preserve">NIO_A01        </t>
  </si>
  <si>
    <t xml:space="preserve">BA MAMADOU                              </t>
  </si>
  <si>
    <t xml:space="preserve">NIORO -   . - NIORO DU RIP - NIORO - -%204  NIORO                                                                                                                                                                           </t>
  </si>
  <si>
    <t xml:space="preserve">SM10 OVA - AGENCE DE OUROSSOGUI \ QUARTIER MODERNE OUROSSOGUI \ MATAM \ EXT_DIA2465 \ ADSL          </t>
  </si>
  <si>
    <t>MBN</t>
  </si>
  <si>
    <t>THS_MBN</t>
  </si>
  <si>
    <t xml:space="preserve">MBN_A00        </t>
  </si>
  <si>
    <t xml:space="preserve">NDIAYE AMETH                            </t>
  </si>
  <si>
    <t xml:space="preserve">MBOUR_SESSENE -   VILLAGE MBODIENE - VILLAGE MBODIENE - MBOUR_SESSENE - -MBODIENEｿPLAGE                                                                                                                                     </t>
  </si>
  <si>
    <t xml:space="preserve">DEMANDE PAYER PAR LE NUMERO DE DEMANDE 16364074                                                     </t>
  </si>
  <si>
    <t xml:space="preserve">JOA_A02        </t>
  </si>
  <si>
    <t xml:space="preserve">FAYE MAMADOU                            </t>
  </si>
  <si>
    <t xml:space="preserve">MBOUR - 774030076  . - JOAL - MBOUR - 774030076-                                                                                                                                                                            </t>
  </si>
  <si>
    <t xml:space="preserve">MC FBOX 338870219 VERS ADSL KEURGUI 4MEGA BITS                                                      </t>
  </si>
  <si>
    <t xml:space="preserve">ELIGIBLE JOA/A02 D1 A10/100m_SOFATEL_ Abdoulaye TRAORE                                              </t>
  </si>
  <si>
    <t xml:space="preserve">FAT_A00        </t>
  </si>
  <si>
    <t xml:space="preserve">FAYE ABDOULAYE DIOG                     </t>
  </si>
  <si>
    <t xml:space="preserve">FATICK - N68  NDOUCK - NDOUCK - FATICK - CT 776560847 OU 776240277-                                                                                                                                                         </t>
  </si>
  <si>
    <t xml:space="preserve">KIBARU//CAS-104073692-V7J2B6// RECOND -2MOIS 339459301                                              </t>
  </si>
  <si>
    <t xml:space="preserve">KLK_A15        </t>
  </si>
  <si>
    <t xml:space="preserve">SENE ADJI FATOU                         </t>
  </si>
  <si>
    <t xml:space="preserve">KAOLACK -   . - NDORONG OCCAS - KAOLACK - -%201                                                                                                                                                                             </t>
  </si>
  <si>
    <t xml:space="preserve">KAOLACK \ QUARTIER LEONA AVENUE IBRAHIMA S NDAO \ KAOLACK \ EXT_BALDE1942 \ ADSL                    </t>
  </si>
  <si>
    <t>BIR</t>
  </si>
  <si>
    <t>KLK_BIR</t>
  </si>
  <si>
    <t xml:space="preserve">BIR_A00        </t>
  </si>
  <si>
    <t xml:space="preserve">NDIAYE AWA                              </t>
  </si>
  <si>
    <t xml:space="preserve">BIRKELANE -   . - BIRKELANE - BIRKELANE - -                                                                                                                                                                                 </t>
  </si>
  <si>
    <t xml:space="preserve">NA KEURGUI 2MEGA CT=778737343 VTO PAPE DIOP                                                         </t>
  </si>
  <si>
    <t>KRG</t>
  </si>
  <si>
    <t>KLK_KRG</t>
  </si>
  <si>
    <t xml:space="preserve">KRG_A00        </t>
  </si>
  <si>
    <t xml:space="preserve">FALL CHEIKH                             </t>
  </si>
  <si>
    <t xml:space="preserve">FOUNDIOUGNE_TOUBACOUTA -   . - VILLAGE KARANG POSTE - FOUNDIOUGNE_TOUBACOUTA - CT 773638149-MEDINE                                                                                                                          </t>
  </si>
  <si>
    <t xml:space="preserve">SM10 OVA - FP ITR PASSY \ PASSY VILLE \ PASSY \ EXT_BINDIA2786 \ ADSL                               </t>
  </si>
  <si>
    <t xml:space="preserve">DIOUF ARFANG                            </t>
  </si>
  <si>
    <t xml:space="preserve">MBOUR -   . - JOAL - MBOUR - -%207  Joal                                                                                                                                                                                    </t>
  </si>
  <si>
    <t xml:space="preserve">DDE 21031615 PAYEE  NON MISE EN SERVICE NECESSITE REPRISE                                           </t>
  </si>
  <si>
    <t xml:space="preserve">cisse7265                     </t>
  </si>
  <si>
    <t xml:space="preserve">APPROVISIONNEMENT POTEAU                </t>
  </si>
  <si>
    <t xml:space="preserve">JOA/A02/D8 A16/100m+TRAVERSﾉE RUELLE 30m_SOFATEL_ Abdoulaye TRAORE                                  </t>
  </si>
  <si>
    <t xml:space="preserve">CISSE AISSATOU NDIEM                    </t>
  </si>
  <si>
    <t xml:space="preserve">NIORO -   . - DAROU SALAM - NIORO - -%20neant                                                                                                                                                                               </t>
  </si>
  <si>
    <t xml:space="preserve">ALIOUNE DIOP//Ibrahima DIALLO                                                                       </t>
  </si>
  <si>
    <t xml:space="preserve">KLK_A12        </t>
  </si>
  <si>
    <t xml:space="preserve">SECK ROSINE BOCANDE                     </t>
  </si>
  <si>
    <t xml:space="preserve">KAOLACK -   . - SAM - KAOLACK - -PRES DE ECOLE ARABE                                                                                                                                                                        </t>
  </si>
  <si>
    <t xml:space="preserve">NA KEURGUI 2MEGA CONTACT=775192020 VTO MOR                                                          </t>
  </si>
  <si>
    <t xml:space="preserve">Reprise Activite production             </t>
  </si>
  <si>
    <t xml:space="preserve">CTC 775192020                                                                                       </t>
  </si>
  <si>
    <t xml:space="preserve">DIOP NDEYE FATMA                        </t>
  </si>
  <si>
    <t xml:space="preserve">NDOFFANE -   . - DIAMAGUENE - NDOFFANE - 773790664-PAS DE PC I ND VOISIN                                                                                                                                                    </t>
  </si>
  <si>
    <t xml:space="preserve">ACHAT//CAS-97288987-F9M2X0// NA KEURGUI 2 MG                                                        </t>
  </si>
  <si>
    <t xml:space="preserve">GUEYE SOKHNA ABY                        </t>
  </si>
  <si>
    <t xml:space="preserve">NIORO -   . - HLM NIORO - NIORO - -%201                                                                                                                                                                                     </t>
  </si>
  <si>
    <t xml:space="preserve">SM10 OVA -  \  \  \ SIDY BALDE \ ADSL                                                               </t>
  </si>
  <si>
    <t xml:space="preserve">DIOUF ELHADJI                           </t>
  </si>
  <si>
    <t xml:space="preserve">NDOFFANE -   . - DAROU SALAM - NDOFFANE - 771857151-                                                                                                                                                                        </t>
  </si>
  <si>
    <t xml:space="preserve">REB NA KEURGUI // CAS-99220654-Y8X2P0                                                               </t>
  </si>
  <si>
    <t xml:space="preserve">NIANE FATOU                             </t>
  </si>
  <si>
    <t xml:space="preserve">NIORO -   . - NIORO DU RIP - NIORO - CTC / 705068069-                                                                                                                                                                       </t>
  </si>
  <si>
    <t xml:space="preserve">DRV CENTRE / TOUBA NDIAPANDAL / BALDE \ ADSL                                                        </t>
  </si>
  <si>
    <t xml:space="preserve">DEME NAFISSATOU                         </t>
  </si>
  <si>
    <t xml:space="preserve">FATICK -   NDOUCK - NDOUCK - FATICK - CT 775331961-                                                                                                                                                                         </t>
  </si>
  <si>
    <t xml:space="preserve">DEPLACEMENT PRISE SUR DDE CLIENT                                                                    </t>
  </si>
  <si>
    <t>SEGMENT</t>
  </si>
  <si>
    <t>OLT</t>
  </si>
  <si>
    <t>Demande</t>
  </si>
  <si>
    <t>Coper</t>
  </si>
  <si>
    <t>ND</t>
  </si>
  <si>
    <t>OFFRES</t>
  </si>
  <si>
    <t>DateValidation</t>
  </si>
  <si>
    <t>NomduClient</t>
  </si>
  <si>
    <t>Client avisé</t>
  </si>
  <si>
    <t xml:space="preserve"> </t>
  </si>
  <si>
    <t>Contactclient</t>
  </si>
  <si>
    <t>Dated'intervention</t>
  </si>
  <si>
    <t>Heure</t>
  </si>
  <si>
    <t>VIACC</t>
  </si>
  <si>
    <t>Pilotes</t>
  </si>
  <si>
    <t>ST</t>
  </si>
  <si>
    <t>CI-PRCL</t>
  </si>
  <si>
    <t>Tâches</t>
  </si>
  <si>
    <t>CoordonnéesGPSsurEasyWork</t>
  </si>
  <si>
    <t>SR</t>
  </si>
  <si>
    <t>Adresse</t>
  </si>
  <si>
    <t>B2C</t>
  </si>
  <si>
    <t>THIAROYE</t>
  </si>
  <si>
    <t xml:space="preserve">MB_FLASH_5G                                       </t>
  </si>
  <si>
    <t xml:space="preserve">NDAW ASSY                               </t>
  </si>
  <si>
    <t>Dans la journée</t>
  </si>
  <si>
    <t>SOFATELCOM</t>
  </si>
  <si>
    <t>Survey et installation 5G</t>
  </si>
  <si>
    <t xml:space="preserve">PIKINE -   . - NIETY MBAR - PIKINE - -%20  PIKINE NIETY MBAR                                                                                                                                                                </t>
  </si>
  <si>
    <t>KAOLACK</t>
  </si>
  <si>
    <t xml:space="preserve">CAMARA BINTA                            </t>
  </si>
  <si>
    <t xml:space="preserve">KAOLACK -   . - DIALEGNE - KAOLACK - -%20111                                                                                                                                                                                </t>
  </si>
  <si>
    <t xml:space="preserve">NDAO MBENGUE                            </t>
  </si>
  <si>
    <t xml:space="preserve">KAOLACK -   . - MEDINA MBAMBA - KAOLACK - -%20                                                                                                                                                                              </t>
  </si>
  <si>
    <t xml:space="preserve">THIAM AICHA                             </t>
  </si>
  <si>
    <t xml:space="preserve">KAOLACK -   . - KAOLACK VILLE - KAOLACK - -%20111                                                                                                                                                                           </t>
  </si>
  <si>
    <t>FOUNDIOUGNE</t>
  </si>
  <si>
    <t xml:space="preserve">DIOUF NDEYE KHOUREDI                    </t>
  </si>
  <si>
    <t xml:space="preserve">FATICK -   . - RTE FOUNDIOUGNE FATICK - FATICK - -%20FGNE  RAS                                                                                                                                                              </t>
  </si>
  <si>
    <t>MBOUR - THIADIAYE</t>
  </si>
  <si>
    <t xml:space="preserve">GNING ABDALLAH                          </t>
  </si>
  <si>
    <t xml:space="preserve">774476924 ; 778205830                                                                                                   </t>
  </si>
  <si>
    <t xml:space="preserve">NGUEKHOKH_COMMUNE -   . - THIKESS - NGUEKHOKH_COMMUNE - -%200000  CAMPEMENT NGUEKHOKH P                                                                                                                                     </t>
  </si>
  <si>
    <t xml:space="preserve">MB_ENTRY_5G                                       </t>
  </si>
  <si>
    <t xml:space="preserve">GUEYE MATY                              </t>
  </si>
  <si>
    <t xml:space="preserve">771410362 ; 771410362                                                                                                   </t>
  </si>
  <si>
    <t xml:space="preserve">MBOUR -   . - DAROU SALAM MBOUR - MBOUR - -%2000  MBOUR DAROU SALAM GOUYE                                                                                                                                                   </t>
  </si>
  <si>
    <t xml:space="preserve">MBAYE ASSANE DIOUCK                     </t>
  </si>
  <si>
    <t xml:space="preserve">THIAROYE -   . - GUINAW RAILS - THIAROYE - -%2001  le client veux migrer v                                                                                                                                                  </t>
  </si>
  <si>
    <t xml:space="preserve">MBODJI MAMADOU                          </t>
  </si>
  <si>
    <t xml:space="preserve">MBOUR -   . - ANCADE - MBOUR - 772618158-                                                                                                                                                                                   </t>
  </si>
  <si>
    <t xml:space="preserve">LO FATOU BORO                           </t>
  </si>
  <si>
    <t>A PRIORISER</t>
  </si>
  <si>
    <t xml:space="preserve">MBOUR - 33  . - SALY - MBOUR - CTC 771414153-RESIDENCE LES TENNIS                                                                                                                                                           </t>
  </si>
  <si>
    <t xml:space="preserve">DIENG SAFIATOU                          </t>
  </si>
  <si>
    <t xml:space="preserve">MBOUR -   . - ESCALE NGUEKHOKH - MBOUR - -%201                                                                                                                                                                              </t>
  </si>
  <si>
    <t xml:space="preserve">KAMARA ABDOULAYE                        </t>
  </si>
  <si>
    <t xml:space="preserve">MBOUR -   . - THIOCE EST MBOUR - MBOUR - -%2001                                                                                                                                                                             </t>
  </si>
  <si>
    <t xml:space="preserve">GUEYE SEYNABOU                          </t>
  </si>
  <si>
    <t xml:space="preserve">FOUNDIOUGNE - CT 776537696  . - THIAMENE - FOUNDIOUGNE - A COTE DE L'ECOLE PRIVE YASSALAM-                                                                                                                                  </t>
  </si>
  <si>
    <t xml:space="preserve">BADIANE CHEIKH ASSANE                   </t>
  </si>
  <si>
    <t xml:space="preserve">MBOUR -   . - VILLAGE DE NDAME - MBOUR - -%207654  TOUBA NDAM ALASAR                                                                                                                                                        </t>
  </si>
  <si>
    <t xml:space="preserve">FAYE NDEYE FATOU                        </t>
  </si>
  <si>
    <t xml:space="preserve">775493706 ; 779207928 ; 779207928                                                                                       </t>
  </si>
  <si>
    <t xml:space="preserve">FOUNDIOUGNE -   . - THIARAKHOLE - FOUNDIOUGNE - -%20FGNE  RAS                                                                                                                                                               </t>
  </si>
  <si>
    <t xml:space="preserve">SOW MOUSSA                              </t>
  </si>
  <si>
    <t xml:space="preserve">SICAP MBAO -   . - SICAP MBAO - SICAP MBAO - CTC 772313482/705396137-CTC 772313482/705396137                                                                                                                                </t>
  </si>
  <si>
    <t xml:space="preserve">DRAME MARIAMA                           </t>
  </si>
  <si>
    <t xml:space="preserve">MBOUR -   . - HLM MBOUR - MBOUR - -%2001  MBOUR LIBERTE                                                                                                                                                                     </t>
  </si>
  <si>
    <t xml:space="preserve">NDOUR ROSALY COUMBA                     </t>
  </si>
  <si>
    <t xml:space="preserve">MBAYE YADICONE                          </t>
  </si>
  <si>
    <t xml:space="preserve">MBOUR -   . - ANCADE - MBOUR - -%20NO78                                                                                                                                                                                     </t>
  </si>
  <si>
    <t xml:space="preserve">DIOCKOU ROCKY                           </t>
  </si>
  <si>
    <t xml:space="preserve">RUFISQUE -   . - GOUYE MOURIDE COLOBANE - RUFISQUE - -%201  La 5g est disponible                                                                                                                                            </t>
  </si>
  <si>
    <t xml:space="preserve">DIA SOULEYMANE MBA                      </t>
  </si>
  <si>
    <t xml:space="preserve">FOUNDIOUGNE -   . - ESCALE - FOUNDIOUGNE - CT 772533971-                                                                                                                                                                    </t>
  </si>
  <si>
    <t xml:space="preserve">MARONE MOUSSA                           </t>
  </si>
  <si>
    <t xml:space="preserve">MBOUR - 773354535  . - MBOUR TOUCOULEUR - MBOUR - CTC / 773354535-MBOUR TOUCOULEUR                                                                                                                                          </t>
  </si>
  <si>
    <t xml:space="preserve">YOUM FATOU                              </t>
  </si>
  <si>
    <t xml:space="preserve">MBOUR -   . - ANCADE - MBOUR - CTC 751070094-ESPAGNE 2                                                                                                                                                                      </t>
  </si>
  <si>
    <t xml:space="preserve">DIENG ALIOUNE                           </t>
  </si>
  <si>
    <t xml:space="preserve">MBOUR -   . - GRAND MBOUR - MBOUR - -%206  MBOUR LIBERTE 2 EXTENSIO                                                                                                                                                         </t>
  </si>
  <si>
    <t xml:space="preserve">NDIAYE PAPA MADIOP SA                   </t>
  </si>
  <si>
    <t xml:space="preserve">MBOUR -   . - THIOCE OUEST MBOUR - MBOUR - -%2000  ONCADE                                                                                                                                                                   </t>
  </si>
  <si>
    <t xml:space="preserve">MENDY RIVALDO                           </t>
  </si>
  <si>
    <t xml:space="preserve">777304220 ; 777304220                                                                                                   </t>
  </si>
  <si>
    <t>NIORO</t>
  </si>
  <si>
    <t xml:space="preserve">FALL NDENE                              </t>
  </si>
  <si>
    <t xml:space="preserve">NIORO -   . - VILLAGE DE KEUR AYIB - NIORO - -                                                                                                                                                                              </t>
  </si>
  <si>
    <t xml:space="preserve">NANDINGUE ABLAYE                        </t>
  </si>
  <si>
    <t xml:space="preserve">MBOUR -   . - MBOUR VILLE - MBOUR - -%201  S BABACAR                                                                                                                                                                        </t>
  </si>
  <si>
    <t xml:space="preserve">BOUSSO OUSSEYNOU                        </t>
  </si>
  <si>
    <t xml:space="preserve">MBOUR -   . - SALY EXTENSION - MBOUR - -%201  SALY DOUTE                                                                                                                                                                    </t>
  </si>
  <si>
    <t xml:space="preserve">GUEYE ASTOU DIOUF                       </t>
  </si>
  <si>
    <t xml:space="preserve">MBOUR_SINDIA - 778294358  . - GANDIGAL - MBOUR_SINDIA - 778294358-GANDIGAL                                                                                                                                                  </t>
  </si>
  <si>
    <t xml:space="preserve">SALL AISSATOU                           </t>
  </si>
  <si>
    <t xml:space="preserve">MBOUR_SINDIA -   VILLAGE FALOKH OUOLOF - VILLAGE FALOKH OUOLOF - MBOUR_SINDIA - CTC 770672079-                                                                                                                              </t>
  </si>
  <si>
    <t xml:space="preserve">DIOP PAPA                               </t>
  </si>
  <si>
    <t xml:space="preserve">774643725 ; 774643725                                                                                                   </t>
  </si>
  <si>
    <t xml:space="preserve">MBOUR -   . - ZONE RESIDENTIELLE MBOUR - MBOUR - -%20466  ZONE SONATEL                                                                                                                                                      </t>
  </si>
  <si>
    <t xml:space="preserve">TOURE MAME DIARRA BO                    </t>
  </si>
  <si>
    <t xml:space="preserve">MBOUR - 781377691  . - VILLAGE DE MALICOUNDA - MBOUR - CTC / 781377691-MALICOUNDA                                                                                                                                           </t>
  </si>
  <si>
    <t xml:space="preserve">SENE DALY                               </t>
  </si>
  <si>
    <t xml:space="preserve">MBOUR - 773244232  . - DAROU SALAM MBOUR - MBOUR - 773244232-DAROU SALAM                                                                                                                                                    </t>
  </si>
  <si>
    <t xml:space="preserve">NDOUR MARIE ODILE                       </t>
  </si>
  <si>
    <t xml:space="preserve">MBOUR -   . - DIAMAGUENE MBOUR - MBOUR - LIBERTE 2 MBOUR-LIBERTE 2 MBOUR                                                                                                                                                    </t>
  </si>
  <si>
    <t xml:space="preserve">SOW MBAYE                               </t>
  </si>
  <si>
    <t xml:space="preserve">MBOUR -   . - MEDINE - MBOUR - -LIBERTE 1                                                                                                                                                                                   </t>
  </si>
  <si>
    <t xml:space="preserve">SAKHO DIARY                             </t>
  </si>
  <si>
    <t xml:space="preserve">FASS MBAO -   FASS MBAO - FASS MBAO - FASS MBAO - CT 776366938 / VS 338545689-                                                                                                                                              </t>
  </si>
  <si>
    <t xml:space="preserve">DIALLO AMINATA                          </t>
  </si>
  <si>
    <t xml:space="preserve">FASS MBAO -   FASS MBAO - FASS MBAO - FASS MBAO - -                                                                                                                                                                         </t>
  </si>
  <si>
    <t xml:space="preserve">NDIONE DOUDOU                           </t>
  </si>
  <si>
    <t xml:space="preserve">MBOUR - 775643404  . - VILLAGE DE SANDIARA - MBOUR - CTC / 775643404-SANDIARA                                                                                                                                               </t>
  </si>
  <si>
    <t xml:space="preserve">MINGOU GISELE MADELEI                   </t>
  </si>
  <si>
    <t xml:space="preserve">MBOUR -   . - VILLAGE DE NGAPAROU - MBOUR - NGAPAROU-NGAPAROU                                                                                                                                                               </t>
  </si>
  <si>
    <t xml:space="preserve">SENE FATOU KINE                         </t>
  </si>
  <si>
    <t xml:space="preserve">MBOUR - 765614808  . - ANCADE - MBOUR - CTC / 765614808-ONCADE                                                                                                                                                              </t>
  </si>
  <si>
    <t xml:space="preserve">RIPA LUIGI                              </t>
  </si>
  <si>
    <t xml:space="preserve">774049590 ; 774466632 ; 777222125 ; 783858893                                                                           </t>
  </si>
  <si>
    <t xml:space="preserve">MBOUR -   SALY CARREFOUR - SALY CARREFOUR - MBOUR - 777222125///774466632-SALY CARREFOUR FACE FILET BLEU                                                                                                                    </t>
  </si>
  <si>
    <t>COMMENTAIRE ST</t>
  </si>
  <si>
    <t>STATUT</t>
  </si>
  <si>
    <t>ABOU TALL</t>
  </si>
  <si>
    <t xml:space="preserve">INJOIGNABLE </t>
  </si>
  <si>
    <t>BIRAHIM DIALLO</t>
  </si>
  <si>
    <t>FALLOU NGOM</t>
  </si>
  <si>
    <t>RV 12_09</t>
  </si>
  <si>
    <t>CHEIKH DEME</t>
  </si>
  <si>
    <t>ISMAILA DIOUF</t>
  </si>
  <si>
    <t>KHADIM THIAW</t>
  </si>
  <si>
    <t>ABSENCE SIM PILOTE AWA DIAW</t>
  </si>
  <si>
    <t>MOUSSA GUEYE</t>
  </si>
  <si>
    <t>le client n’a pas la puce</t>
  </si>
  <si>
    <t>HORS ZONE</t>
  </si>
  <si>
    <t>TOUMANI</t>
  </si>
  <si>
    <t>IBRAHIMA NDIAYE</t>
  </si>
  <si>
    <t>LAMINE SOW</t>
  </si>
  <si>
    <t>ASSANE NDOUR</t>
  </si>
  <si>
    <t>A REPROGRAMMER</t>
  </si>
  <si>
    <t>RUPTURE MODEM</t>
  </si>
  <si>
    <t>REPART</t>
  </si>
  <si>
    <t>NOM UTILISATEUR                      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</si>
</sst>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9"/>
      <name val="Cambria"/>
      <family val="1"/>
    </font>
    <font>
      <b/>
      <sz val="9"/>
      <name val="Cambria"/>
      <family val="1"/>
    </font>
    <font>
      <b/>
      <sz val="8"/>
      <name val="Cambria"/>
      <family val="1"/>
    </font>
    <font>
      <sz val="10"/>
      <name val="Times New Roman"/>
      <family val="1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591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medium">
        <color rgb="FFED7D31"/>
      </left>
      <right style="medium">
        <color rgb="FFED7D31"/>
      </right>
      <top style="medium">
        <color rgb="FFED7D31"/>
      </top>
      <bottom style="medium">
        <color rgb="FFED7D31"/>
      </bottom>
      <diagonal/>
    </border>
    <border>
      <left/>
      <right style="medium">
        <color rgb="FFED7D31"/>
      </right>
      <top style="medium">
        <color rgb="FFED7D31"/>
      </top>
      <bottom style="medium">
        <color rgb="FFED7D31"/>
      </bottom>
      <diagonal/>
    </border>
    <border>
      <left/>
      <right style="medium">
        <color rgb="FFED7D31"/>
      </right>
      <top/>
      <bottom style="medium">
        <color rgb="FFED7D31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rgb="FFED7D31"/>
      </left>
      <right style="medium">
        <color rgb="FFED7D31"/>
      </right>
      <top/>
      <bottom style="medium">
        <color rgb="FFED7D3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/>
    </xf>
    <xf numFmtId="14" fontId="1" fillId="8" borderId="2" xfId="0" applyNumberFormat="1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14" fontId="1" fillId="8" borderId="3" xfId="0" applyNumberFormat="1" applyFont="1" applyFill="1" applyBorder="1" applyAlignment="1">
      <alignment horizontal="center" vertical="center"/>
    </xf>
    <xf numFmtId="14" fontId="2" fillId="8" borderId="2" xfId="0" applyNumberFormat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0"/>
  <sheetViews>
    <sheetView tabSelected="1" topLeftCell="X1" zoomScaleNormal="100" workbookViewId="0">
      <selection activeCell="Z1" sqref="Z1"/>
    </sheetView>
  </sheetViews>
  <sheetFormatPr baseColWidth="10" defaultColWidth="10.85546875" defaultRowHeight="15" x14ac:dyDescent="0.25"/>
  <cols>
    <col min="1" max="1" width="11.85546875" style="5" customWidth="1"/>
    <col min="2" max="2" width="21.42578125" style="18" customWidth="1"/>
    <col min="3" max="3" width="7.85546875" style="5" bestFit="1" customWidth="1"/>
    <col min="4" max="4" width="10.5703125" style="5" bestFit="1" customWidth="1"/>
    <col min="5" max="5" width="17.5703125" style="5" customWidth="1"/>
    <col min="6" max="6" width="17.28515625" style="18" customWidth="1"/>
    <col min="7" max="7" width="9.85546875" style="18" bestFit="1" customWidth="1"/>
    <col min="8" max="8" width="10.42578125" style="5" bestFit="1" customWidth="1"/>
    <col min="9" max="9" width="15.140625" style="5" bestFit="1" customWidth="1"/>
    <col min="10" max="10" width="29.140625" style="5" bestFit="1" customWidth="1"/>
    <col min="11" max="11" width="10.5703125" style="18" bestFit="1" customWidth="1"/>
    <col min="12" max="12" width="8.140625" style="5" bestFit="1" customWidth="1"/>
    <col min="13" max="13" width="16.5703125" style="5" bestFit="1" customWidth="1"/>
    <col min="14" max="14" width="15" style="18" bestFit="1" customWidth="1"/>
    <col min="15" max="15" width="22.42578125" style="5" customWidth="1"/>
    <col min="16" max="16" width="14.42578125" style="18" bestFit="1" customWidth="1"/>
    <col min="17" max="17" width="17.140625" style="5" bestFit="1" customWidth="1"/>
    <col min="18" max="18" width="16.5703125" style="18" customWidth="1"/>
    <col min="19" max="19" width="6.85546875" style="5" bestFit="1" customWidth="1"/>
    <col min="20" max="20" width="20.85546875" style="18" bestFit="1" customWidth="1"/>
    <col min="21" max="21" width="11.140625" style="18" bestFit="1" customWidth="1"/>
    <col min="22" max="22" width="12.5703125" style="5" bestFit="1" customWidth="1"/>
    <col min="23" max="23" width="8.140625" style="5" bestFit="1" customWidth="1"/>
    <col min="24" max="24" width="22.42578125" style="5" bestFit="1" customWidth="1"/>
    <col min="25" max="25" width="19.42578125" style="5" bestFit="1" customWidth="1"/>
    <col min="26" max="26" width="27.5703125" style="18" bestFit="1" customWidth="1"/>
    <col min="27" max="27" width="153" style="18" bestFit="1" customWidth="1"/>
    <col min="28" max="28" width="84.42578125" style="5" bestFit="1" customWidth="1"/>
    <col min="29" max="29" width="13.42578125" style="5" bestFit="1" customWidth="1"/>
    <col min="30" max="30" width="29.7109375" style="5" bestFit="1" customWidth="1"/>
    <col min="31" max="31" width="30.140625" style="5" bestFit="1" customWidth="1"/>
    <col min="32" max="32" width="72.5703125" style="5" bestFit="1" customWidth="1"/>
    <col min="33" max="33" width="25.140625" style="18" customWidth="1"/>
    <col min="34" max="16384" width="10.85546875" style="5"/>
  </cols>
  <sheetData>
    <row r="1" spans="1:33" ht="15.75" thickBot="1" x14ac:dyDescent="0.3">
      <c r="A1" s="7" t="s">
        <v>0</v>
      </c>
      <c r="B1" s="16" t="s">
        <v>394</v>
      </c>
      <c r="C1" s="6" t="s">
        <v>1</v>
      </c>
      <c r="D1" s="6" t="s">
        <v>2</v>
      </c>
      <c r="E1" s="6" t="s">
        <v>3</v>
      </c>
      <c r="F1" s="16" t="s">
        <v>4</v>
      </c>
      <c r="G1" s="16" t="s">
        <v>5</v>
      </c>
      <c r="H1" s="6" t="s">
        <v>6</v>
      </c>
      <c r="I1" s="6" t="s">
        <v>7</v>
      </c>
      <c r="J1" s="6" t="s">
        <v>8</v>
      </c>
      <c r="K1" s="16" t="s">
        <v>9</v>
      </c>
      <c r="L1" s="6" t="s">
        <v>10</v>
      </c>
      <c r="M1" s="8" t="s">
        <v>11</v>
      </c>
      <c r="N1" s="16" t="s">
        <v>12</v>
      </c>
      <c r="O1" s="8" t="s">
        <v>13</v>
      </c>
      <c r="P1" s="16" t="s">
        <v>14</v>
      </c>
      <c r="Q1" s="8" t="s">
        <v>15</v>
      </c>
      <c r="R1" s="16" t="s">
        <v>16</v>
      </c>
      <c r="S1" s="8" t="s">
        <v>17</v>
      </c>
      <c r="T1" s="16" t="s">
        <v>18</v>
      </c>
      <c r="U1" s="1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16" t="s">
        <v>395</v>
      </c>
      <c r="AA1" s="16" t="s">
        <v>24</v>
      </c>
      <c r="AB1" s="6" t="s">
        <v>25</v>
      </c>
      <c r="AC1" s="6" t="s">
        <v>26</v>
      </c>
      <c r="AD1" s="6" t="s">
        <v>27</v>
      </c>
      <c r="AE1" s="6" t="s">
        <v>28</v>
      </c>
      <c r="AF1" s="6" t="s">
        <v>29</v>
      </c>
      <c r="AG1" s="16" t="s">
        <v>30</v>
      </c>
    </row>
    <row r="2" spans="1:33" ht="15.75" thickBot="1" x14ac:dyDescent="0.3">
      <c r="A2" s="9" t="s">
        <v>31</v>
      </c>
      <c r="B2" s="17" t="s">
        <v>32</v>
      </c>
      <c r="C2" s="9" t="s">
        <v>33</v>
      </c>
      <c r="D2" s="9" t="s">
        <v>34</v>
      </c>
      <c r="E2" s="9">
        <v>44387631</v>
      </c>
      <c r="F2" s="17">
        <v>19535055</v>
      </c>
      <c r="G2" s="17">
        <v>1</v>
      </c>
      <c r="H2" s="9">
        <v>3</v>
      </c>
      <c r="I2" s="9" t="s">
        <v>35</v>
      </c>
      <c r="J2" s="9" t="s">
        <v>36</v>
      </c>
      <c r="K2" s="17">
        <v>339432180</v>
      </c>
      <c r="L2" s="9" t="s">
        <v>37</v>
      </c>
      <c r="M2" s="9" t="s">
        <v>38</v>
      </c>
      <c r="N2" s="17" t="s">
        <v>392</v>
      </c>
      <c r="O2" s="10"/>
      <c r="P2" s="17" t="s">
        <v>393</v>
      </c>
      <c r="Q2" s="10" t="e">
        <v>#N/A</v>
      </c>
      <c r="R2" s="20" t="s">
        <v>39</v>
      </c>
      <c r="S2" s="1" t="s">
        <v>40</v>
      </c>
      <c r="T2" s="19">
        <v>45912</v>
      </c>
      <c r="U2" s="19">
        <v>45910</v>
      </c>
      <c r="V2" s="11">
        <v>45910</v>
      </c>
      <c r="W2" s="12" t="s">
        <v>41</v>
      </c>
      <c r="X2" s="12" t="s">
        <v>42</v>
      </c>
      <c r="Y2" s="12" t="s">
        <v>43</v>
      </c>
      <c r="Z2" s="17" t="s">
        <v>44</v>
      </c>
      <c r="AA2" s="17" t="s">
        <v>45</v>
      </c>
      <c r="AB2" s="12" t="s">
        <v>46</v>
      </c>
      <c r="AC2" s="11">
        <v>45797</v>
      </c>
      <c r="AD2" s="12" t="s">
        <v>47</v>
      </c>
      <c r="AE2" s="12" t="s">
        <v>48</v>
      </c>
      <c r="AF2" s="12" t="s">
        <v>49</v>
      </c>
      <c r="AG2" s="17">
        <v>778157833</v>
      </c>
    </row>
    <row r="3" spans="1:33" ht="15.75" thickBot="1" x14ac:dyDescent="0.3">
      <c r="A3" s="9" t="s">
        <v>50</v>
      </c>
      <c r="B3" s="17" t="s">
        <v>51</v>
      </c>
      <c r="C3" s="9" t="s">
        <v>52</v>
      </c>
      <c r="D3" s="9" t="s">
        <v>53</v>
      </c>
      <c r="E3" s="9">
        <v>45511681</v>
      </c>
      <c r="F3" s="17">
        <v>20320635</v>
      </c>
      <c r="G3" s="17">
        <v>1</v>
      </c>
      <c r="H3" s="9">
        <v>3</v>
      </c>
      <c r="I3" s="9" t="s">
        <v>35</v>
      </c>
      <c r="J3" s="9" t="s">
        <v>36</v>
      </c>
      <c r="K3" s="17">
        <v>339010573</v>
      </c>
      <c r="L3" s="9" t="s">
        <v>37</v>
      </c>
      <c r="M3" s="9" t="s">
        <v>38</v>
      </c>
      <c r="N3" s="17" t="s">
        <v>392</v>
      </c>
      <c r="O3" s="10"/>
      <c r="P3" s="17" t="s">
        <v>393</v>
      </c>
      <c r="Q3" s="10" t="e">
        <v>#N/A</v>
      </c>
      <c r="R3" s="20" t="s">
        <v>39</v>
      </c>
      <c r="S3" s="1" t="s">
        <v>40</v>
      </c>
      <c r="T3" s="19">
        <v>45912</v>
      </c>
      <c r="U3" s="19">
        <v>45910</v>
      </c>
      <c r="V3" s="11">
        <v>45910</v>
      </c>
      <c r="W3" s="12" t="s">
        <v>41</v>
      </c>
      <c r="X3" s="12" t="s">
        <v>42</v>
      </c>
      <c r="Y3" s="12" t="s">
        <v>43</v>
      </c>
      <c r="Z3" s="17" t="s">
        <v>54</v>
      </c>
      <c r="AA3" s="17" t="s">
        <v>55</v>
      </c>
      <c r="AB3" s="12" t="s">
        <v>56</v>
      </c>
      <c r="AC3" s="11" t="s">
        <v>57</v>
      </c>
      <c r="AD3" s="12" t="s">
        <v>58</v>
      </c>
      <c r="AE3" s="12" t="s">
        <v>59</v>
      </c>
      <c r="AF3" s="12" t="s">
        <v>60</v>
      </c>
      <c r="AG3" s="17">
        <v>778899705</v>
      </c>
    </row>
    <row r="4" spans="1:33" ht="15.75" thickBot="1" x14ac:dyDescent="0.3">
      <c r="A4" s="9" t="s">
        <v>31</v>
      </c>
      <c r="B4" s="17" t="s">
        <v>61</v>
      </c>
      <c r="C4" s="9" t="s">
        <v>62</v>
      </c>
      <c r="D4" s="9" t="s">
        <v>63</v>
      </c>
      <c r="E4" s="9">
        <v>45339751</v>
      </c>
      <c r="F4" s="17">
        <v>20373775</v>
      </c>
      <c r="G4" s="17">
        <v>4</v>
      </c>
      <c r="H4" s="9">
        <v>6</v>
      </c>
      <c r="I4" s="9" t="s">
        <v>35</v>
      </c>
      <c r="J4" s="9" t="s">
        <v>36</v>
      </c>
      <c r="K4" s="17">
        <v>339473405</v>
      </c>
      <c r="L4" s="9" t="s">
        <v>37</v>
      </c>
      <c r="M4" s="9" t="s">
        <v>38</v>
      </c>
      <c r="N4" s="17" t="s">
        <v>392</v>
      </c>
      <c r="O4" s="10"/>
      <c r="P4" s="17" t="s">
        <v>393</v>
      </c>
      <c r="Q4" s="10" t="e">
        <v>#N/A</v>
      </c>
      <c r="R4" s="20" t="s">
        <v>39</v>
      </c>
      <c r="S4" s="1" t="s">
        <v>40</v>
      </c>
      <c r="T4" s="19">
        <v>45912</v>
      </c>
      <c r="U4" s="19">
        <v>45907</v>
      </c>
      <c r="V4" s="11">
        <v>45907</v>
      </c>
      <c r="W4" s="12" t="s">
        <v>41</v>
      </c>
      <c r="X4" s="12" t="s">
        <v>42</v>
      </c>
      <c r="Y4" s="12" t="s">
        <v>43</v>
      </c>
      <c r="Z4" s="17" t="s">
        <v>64</v>
      </c>
      <c r="AA4" s="17" t="s">
        <v>65</v>
      </c>
      <c r="AB4" s="12" t="s">
        <v>66</v>
      </c>
      <c r="AC4" s="11">
        <v>45748</v>
      </c>
      <c r="AD4" s="12" t="s">
        <v>67</v>
      </c>
      <c r="AE4" s="12" t="s">
        <v>48</v>
      </c>
      <c r="AF4" s="12" t="s">
        <v>49</v>
      </c>
      <c r="AG4" s="17">
        <v>777214929</v>
      </c>
    </row>
    <row r="5" spans="1:33" ht="15.75" thickBot="1" x14ac:dyDescent="0.3">
      <c r="A5" s="9" t="s">
        <v>31</v>
      </c>
      <c r="B5" s="17" t="s">
        <v>68</v>
      </c>
      <c r="C5" s="9" t="s">
        <v>69</v>
      </c>
      <c r="D5" s="9" t="s">
        <v>70</v>
      </c>
      <c r="E5" s="9">
        <v>46791371</v>
      </c>
      <c r="F5" s="17">
        <v>22101895</v>
      </c>
      <c r="G5" s="17">
        <v>2</v>
      </c>
      <c r="H5" s="9">
        <v>4</v>
      </c>
      <c r="I5" s="9" t="s">
        <v>35</v>
      </c>
      <c r="J5" s="9" t="s">
        <v>71</v>
      </c>
      <c r="K5" s="17">
        <v>339481243</v>
      </c>
      <c r="L5" s="9" t="s">
        <v>37</v>
      </c>
      <c r="M5" s="9" t="s">
        <v>38</v>
      </c>
      <c r="N5" s="17" t="s">
        <v>392</v>
      </c>
      <c r="O5" s="10"/>
      <c r="P5" s="17" t="s">
        <v>393</v>
      </c>
      <c r="Q5" s="10" t="e">
        <v>#N/A</v>
      </c>
      <c r="R5" s="20" t="s">
        <v>39</v>
      </c>
      <c r="S5" s="1" t="s">
        <v>40</v>
      </c>
      <c r="T5" s="19">
        <v>45912</v>
      </c>
      <c r="U5" s="19">
        <v>45909</v>
      </c>
      <c r="V5" s="11">
        <v>45909</v>
      </c>
      <c r="W5" s="12" t="s">
        <v>41</v>
      </c>
      <c r="X5" s="12" t="s">
        <v>42</v>
      </c>
      <c r="Y5" s="12" t="s">
        <v>43</v>
      </c>
      <c r="Z5" s="17" t="s">
        <v>72</v>
      </c>
      <c r="AA5" s="17" t="s">
        <v>73</v>
      </c>
      <c r="AB5" s="12" t="s">
        <v>74</v>
      </c>
      <c r="AC5" s="11">
        <v>45819</v>
      </c>
      <c r="AD5" s="12" t="s">
        <v>75</v>
      </c>
      <c r="AE5" s="12" t="s">
        <v>48</v>
      </c>
      <c r="AF5" s="12" t="s">
        <v>76</v>
      </c>
      <c r="AG5" s="17">
        <v>775625127</v>
      </c>
    </row>
    <row r="6" spans="1:33" ht="15.75" thickBot="1" x14ac:dyDescent="0.3">
      <c r="A6" s="9" t="s">
        <v>77</v>
      </c>
      <c r="B6" s="17" t="s">
        <v>78</v>
      </c>
      <c r="C6" s="9" t="s">
        <v>79</v>
      </c>
      <c r="D6" s="9" t="s">
        <v>80</v>
      </c>
      <c r="E6" s="9">
        <v>47026271</v>
      </c>
      <c r="F6" s="17">
        <v>23074965</v>
      </c>
      <c r="G6" s="17">
        <v>0</v>
      </c>
      <c r="H6" s="9">
        <v>2</v>
      </c>
      <c r="I6" s="9" t="s">
        <v>35</v>
      </c>
      <c r="J6" s="9" t="s">
        <v>71</v>
      </c>
      <c r="K6" s="17">
        <v>338544198</v>
      </c>
      <c r="L6" s="9" t="s">
        <v>37</v>
      </c>
      <c r="M6" s="9" t="s">
        <v>38</v>
      </c>
      <c r="N6" s="17" t="s">
        <v>392</v>
      </c>
      <c r="O6" s="10"/>
      <c r="P6" s="17" t="s">
        <v>393</v>
      </c>
      <c r="Q6" s="10" t="e">
        <v>#N/A</v>
      </c>
      <c r="R6" s="20" t="s">
        <v>39</v>
      </c>
      <c r="S6" s="1" t="s">
        <v>40</v>
      </c>
      <c r="T6" s="19">
        <v>45912</v>
      </c>
      <c r="U6" s="19">
        <v>45911</v>
      </c>
      <c r="V6" s="11">
        <v>45911</v>
      </c>
      <c r="W6" s="12" t="s">
        <v>41</v>
      </c>
      <c r="X6" s="12" t="s">
        <v>42</v>
      </c>
      <c r="Y6" s="12" t="s">
        <v>81</v>
      </c>
      <c r="Z6" s="17" t="s">
        <v>82</v>
      </c>
      <c r="AA6" s="17" t="s">
        <v>83</v>
      </c>
      <c r="AB6" s="12" t="s">
        <v>60</v>
      </c>
      <c r="AC6" s="11">
        <v>45910</v>
      </c>
      <c r="AD6" s="12" t="s">
        <v>84</v>
      </c>
      <c r="AE6" s="12" t="s">
        <v>48</v>
      </c>
      <c r="AF6" s="12" t="s">
        <v>76</v>
      </c>
      <c r="AG6" s="17">
        <v>781163560</v>
      </c>
    </row>
    <row r="7" spans="1:33" ht="15.75" thickBot="1" x14ac:dyDescent="0.3">
      <c r="A7" s="9" t="s">
        <v>50</v>
      </c>
      <c r="B7" s="17" t="s">
        <v>85</v>
      </c>
      <c r="C7" s="9" t="s">
        <v>86</v>
      </c>
      <c r="D7" s="9" t="s">
        <v>87</v>
      </c>
      <c r="E7" s="9">
        <v>47148331</v>
      </c>
      <c r="F7" s="17">
        <v>23423975</v>
      </c>
      <c r="G7" s="17">
        <v>7</v>
      </c>
      <c r="H7" s="9">
        <v>9</v>
      </c>
      <c r="I7" s="9" t="s">
        <v>35</v>
      </c>
      <c r="J7" s="9" t="s">
        <v>71</v>
      </c>
      <c r="K7" s="17">
        <v>339566413</v>
      </c>
      <c r="L7" s="9" t="s">
        <v>37</v>
      </c>
      <c r="M7" s="9" t="s">
        <v>38</v>
      </c>
      <c r="N7" s="17" t="s">
        <v>392</v>
      </c>
      <c r="O7" s="10"/>
      <c r="P7" s="17" t="s">
        <v>393</v>
      </c>
      <c r="Q7" s="10" t="e">
        <v>#N/A</v>
      </c>
      <c r="R7" s="20" t="s">
        <v>39</v>
      </c>
      <c r="S7" s="1" t="s">
        <v>40</v>
      </c>
      <c r="T7" s="19">
        <v>45912</v>
      </c>
      <c r="U7" s="19">
        <v>45904</v>
      </c>
      <c r="V7" s="11">
        <v>45904</v>
      </c>
      <c r="W7" s="12" t="s">
        <v>41</v>
      </c>
      <c r="X7" s="12" t="s">
        <v>42</v>
      </c>
      <c r="Y7" s="12" t="s">
        <v>43</v>
      </c>
      <c r="Z7" s="17" t="s">
        <v>88</v>
      </c>
      <c r="AA7" s="17" t="s">
        <v>89</v>
      </c>
      <c r="AB7" s="12" t="s">
        <v>60</v>
      </c>
      <c r="AC7" s="11" t="s">
        <v>57</v>
      </c>
      <c r="AD7" s="12" t="s">
        <v>58</v>
      </c>
      <c r="AE7" s="12" t="s">
        <v>59</v>
      </c>
      <c r="AF7" s="12" t="s">
        <v>60</v>
      </c>
      <c r="AG7" s="17">
        <v>779679049</v>
      </c>
    </row>
    <row r="8" spans="1:33" ht="15.75" thickBot="1" x14ac:dyDescent="0.3">
      <c r="A8" s="9" t="s">
        <v>31</v>
      </c>
      <c r="B8" s="17" t="s">
        <v>31</v>
      </c>
      <c r="C8" s="9" t="s">
        <v>90</v>
      </c>
      <c r="D8" s="9" t="s">
        <v>91</v>
      </c>
      <c r="E8" s="9">
        <v>47150861</v>
      </c>
      <c r="F8" s="17">
        <v>23429565</v>
      </c>
      <c r="G8" s="17">
        <v>0</v>
      </c>
      <c r="H8" s="9">
        <v>2</v>
      </c>
      <c r="I8" s="9" t="s">
        <v>35</v>
      </c>
      <c r="J8" s="9" t="s">
        <v>71</v>
      </c>
      <c r="K8" s="17">
        <v>339451792</v>
      </c>
      <c r="L8" s="9" t="s">
        <v>37</v>
      </c>
      <c r="M8" s="9" t="s">
        <v>38</v>
      </c>
      <c r="N8" s="17" t="s">
        <v>392</v>
      </c>
      <c r="O8" s="10"/>
      <c r="P8" s="17" t="s">
        <v>393</v>
      </c>
      <c r="Q8" s="10" t="e">
        <v>#N/A</v>
      </c>
      <c r="R8" s="20" t="s">
        <v>39</v>
      </c>
      <c r="S8" s="1" t="s">
        <v>40</v>
      </c>
      <c r="T8" s="19">
        <v>45912</v>
      </c>
      <c r="U8" s="19">
        <v>45911</v>
      </c>
      <c r="V8" s="11">
        <v>45911</v>
      </c>
      <c r="W8" s="12" t="s">
        <v>41</v>
      </c>
      <c r="X8" s="12" t="s">
        <v>42</v>
      </c>
      <c r="Y8" s="12" t="s">
        <v>43</v>
      </c>
      <c r="Z8" s="17" t="s">
        <v>92</v>
      </c>
      <c r="AA8" s="17" t="s">
        <v>93</v>
      </c>
      <c r="AB8" s="12" t="s">
        <v>94</v>
      </c>
      <c r="AC8" s="11">
        <v>45876</v>
      </c>
      <c r="AD8" s="12" t="s">
        <v>84</v>
      </c>
      <c r="AE8" s="12" t="s">
        <v>48</v>
      </c>
      <c r="AF8" s="12" t="s">
        <v>76</v>
      </c>
      <c r="AG8" s="17">
        <v>770764590</v>
      </c>
    </row>
    <row r="9" spans="1:33" ht="15.75" thickBot="1" x14ac:dyDescent="0.3">
      <c r="A9" s="9" t="s">
        <v>31</v>
      </c>
      <c r="B9" s="17" t="s">
        <v>31</v>
      </c>
      <c r="C9" s="9" t="s">
        <v>90</v>
      </c>
      <c r="D9" s="9" t="s">
        <v>95</v>
      </c>
      <c r="E9" s="9">
        <v>32927161</v>
      </c>
      <c r="F9" s="17">
        <v>23804045</v>
      </c>
      <c r="G9" s="17">
        <v>0</v>
      </c>
      <c r="H9" s="9">
        <v>2</v>
      </c>
      <c r="I9" s="9" t="s">
        <v>35</v>
      </c>
      <c r="J9" s="9" t="s">
        <v>71</v>
      </c>
      <c r="K9" s="17">
        <v>339452417</v>
      </c>
      <c r="L9" s="9" t="s">
        <v>37</v>
      </c>
      <c r="M9" s="9" t="s">
        <v>38</v>
      </c>
      <c r="N9" s="17" t="s">
        <v>392</v>
      </c>
      <c r="O9" s="10"/>
      <c r="P9" s="17" t="s">
        <v>393</v>
      </c>
      <c r="Q9" s="10" t="e">
        <v>#N/A</v>
      </c>
      <c r="R9" s="20" t="s">
        <v>39</v>
      </c>
      <c r="S9" s="1" t="s">
        <v>40</v>
      </c>
      <c r="T9" s="19">
        <v>45912</v>
      </c>
      <c r="U9" s="19">
        <v>45911</v>
      </c>
      <c r="V9" s="11">
        <v>45911</v>
      </c>
      <c r="W9" s="12" t="s">
        <v>41</v>
      </c>
      <c r="X9" s="12" t="s">
        <v>42</v>
      </c>
      <c r="Y9" s="12" t="s">
        <v>43</v>
      </c>
      <c r="Z9" s="17" t="s">
        <v>96</v>
      </c>
      <c r="AA9" s="17" t="s">
        <v>97</v>
      </c>
      <c r="AB9" s="12" t="s">
        <v>98</v>
      </c>
      <c r="AC9" s="11">
        <v>45887</v>
      </c>
      <c r="AD9" s="12" t="s">
        <v>99</v>
      </c>
      <c r="AE9" s="12" t="s">
        <v>48</v>
      </c>
      <c r="AF9" s="12" t="s">
        <v>76</v>
      </c>
      <c r="AG9" s="17">
        <v>778234040</v>
      </c>
    </row>
    <row r="10" spans="1:33" ht="15.75" thickBot="1" x14ac:dyDescent="0.3">
      <c r="A10" s="9" t="s">
        <v>50</v>
      </c>
      <c r="B10" s="17" t="s">
        <v>100</v>
      </c>
      <c r="C10" s="9" t="s">
        <v>101</v>
      </c>
      <c r="D10" s="9" t="s">
        <v>102</v>
      </c>
      <c r="E10" s="9">
        <v>47333761</v>
      </c>
      <c r="F10" s="17">
        <v>23814375</v>
      </c>
      <c r="G10" s="17">
        <v>7</v>
      </c>
      <c r="H10" s="9">
        <v>9</v>
      </c>
      <c r="I10" s="9" t="s">
        <v>35</v>
      </c>
      <c r="J10" s="9" t="s">
        <v>71</v>
      </c>
      <c r="K10" s="17">
        <v>339018894</v>
      </c>
      <c r="L10" s="9" t="s">
        <v>37</v>
      </c>
      <c r="M10" s="9" t="s">
        <v>38</v>
      </c>
      <c r="N10" s="17" t="s">
        <v>392</v>
      </c>
      <c r="O10" s="10"/>
      <c r="P10" s="17" t="s">
        <v>393</v>
      </c>
      <c r="Q10" s="10" t="e">
        <v>#N/A</v>
      </c>
      <c r="R10" s="20" t="s">
        <v>39</v>
      </c>
      <c r="S10" s="1" t="s">
        <v>40</v>
      </c>
      <c r="T10" s="19">
        <v>45912</v>
      </c>
      <c r="U10" s="19">
        <v>45904</v>
      </c>
      <c r="V10" s="11">
        <v>45904</v>
      </c>
      <c r="W10" s="12" t="s">
        <v>41</v>
      </c>
      <c r="X10" s="12" t="s">
        <v>42</v>
      </c>
      <c r="Y10" s="12" t="s">
        <v>43</v>
      </c>
      <c r="Z10" s="17" t="s">
        <v>103</v>
      </c>
      <c r="AA10" s="17" t="s">
        <v>104</v>
      </c>
      <c r="AB10" s="12" t="s">
        <v>105</v>
      </c>
      <c r="AC10" s="11">
        <v>45885</v>
      </c>
      <c r="AD10" s="12" t="s">
        <v>106</v>
      </c>
      <c r="AE10" s="12" t="s">
        <v>107</v>
      </c>
      <c r="AF10" s="12" t="s">
        <v>108</v>
      </c>
      <c r="AG10" s="17">
        <v>778486990</v>
      </c>
    </row>
    <row r="11" spans="1:33" ht="15.75" thickBot="1" x14ac:dyDescent="0.3">
      <c r="A11" s="9" t="s">
        <v>50</v>
      </c>
      <c r="B11" s="17" t="s">
        <v>109</v>
      </c>
      <c r="C11" s="9" t="s">
        <v>110</v>
      </c>
      <c r="D11" s="9" t="s">
        <v>111</v>
      </c>
      <c r="E11" s="9">
        <v>47344471</v>
      </c>
      <c r="F11" s="17">
        <v>23836765</v>
      </c>
      <c r="G11" s="17">
        <v>1</v>
      </c>
      <c r="H11" s="9">
        <v>3</v>
      </c>
      <c r="I11" s="9" t="s">
        <v>35</v>
      </c>
      <c r="J11" s="9" t="s">
        <v>71</v>
      </c>
      <c r="K11" s="17">
        <v>339544530</v>
      </c>
      <c r="L11" s="9" t="s">
        <v>37</v>
      </c>
      <c r="M11" s="9" t="s">
        <v>38</v>
      </c>
      <c r="N11" s="17" t="s">
        <v>392</v>
      </c>
      <c r="O11" s="10"/>
      <c r="P11" s="17" t="s">
        <v>393</v>
      </c>
      <c r="Q11" s="10" t="e">
        <v>#N/A</v>
      </c>
      <c r="R11" s="20" t="s">
        <v>39</v>
      </c>
      <c r="S11" s="1" t="s">
        <v>40</v>
      </c>
      <c r="T11" s="19">
        <v>45912</v>
      </c>
      <c r="U11" s="19">
        <v>45910</v>
      </c>
      <c r="V11" s="11">
        <v>45910</v>
      </c>
      <c r="W11" s="12" t="s">
        <v>41</v>
      </c>
      <c r="X11" s="12" t="s">
        <v>42</v>
      </c>
      <c r="Y11" s="12" t="s">
        <v>43</v>
      </c>
      <c r="Z11" s="17" t="s">
        <v>112</v>
      </c>
      <c r="AA11" s="17" t="s">
        <v>113</v>
      </c>
      <c r="AB11" s="12" t="s">
        <v>114</v>
      </c>
      <c r="AC11" s="11" t="s">
        <v>57</v>
      </c>
      <c r="AD11" s="12" t="s">
        <v>58</v>
      </c>
      <c r="AE11" s="12" t="s">
        <v>59</v>
      </c>
      <c r="AF11" s="12" t="s">
        <v>60</v>
      </c>
      <c r="AG11" s="17">
        <v>785385845</v>
      </c>
    </row>
    <row r="12" spans="1:33" ht="15.75" thickBot="1" x14ac:dyDescent="0.3">
      <c r="A12" s="9" t="s">
        <v>50</v>
      </c>
      <c r="B12" s="17" t="s">
        <v>100</v>
      </c>
      <c r="C12" s="9" t="s">
        <v>101</v>
      </c>
      <c r="D12" s="9" t="s">
        <v>102</v>
      </c>
      <c r="E12" s="9">
        <v>33012231</v>
      </c>
      <c r="F12" s="17">
        <v>23856305</v>
      </c>
      <c r="G12" s="17">
        <v>2</v>
      </c>
      <c r="H12" s="9">
        <v>4</v>
      </c>
      <c r="I12" s="9" t="s">
        <v>35</v>
      </c>
      <c r="J12" s="9" t="s">
        <v>71</v>
      </c>
      <c r="K12" s="17">
        <v>339547754</v>
      </c>
      <c r="L12" s="9" t="s">
        <v>37</v>
      </c>
      <c r="M12" s="9" t="s">
        <v>38</v>
      </c>
      <c r="N12" s="17" t="s">
        <v>392</v>
      </c>
      <c r="O12" s="10"/>
      <c r="P12" s="17" t="s">
        <v>393</v>
      </c>
      <c r="Q12" s="10" t="e">
        <v>#N/A</v>
      </c>
      <c r="R12" s="20" t="s">
        <v>39</v>
      </c>
      <c r="S12" s="1" t="s">
        <v>40</v>
      </c>
      <c r="T12" s="19">
        <v>45912</v>
      </c>
      <c r="U12" s="19">
        <v>45909</v>
      </c>
      <c r="V12" s="11">
        <v>45909</v>
      </c>
      <c r="W12" s="12" t="s">
        <v>41</v>
      </c>
      <c r="X12" s="12" t="s">
        <v>42</v>
      </c>
      <c r="Y12" s="12" t="s">
        <v>43</v>
      </c>
      <c r="Z12" s="17" t="s">
        <v>115</v>
      </c>
      <c r="AA12" s="17" t="s">
        <v>116</v>
      </c>
      <c r="AB12" s="12" t="s">
        <v>117</v>
      </c>
      <c r="AC12" s="11">
        <v>45888</v>
      </c>
      <c r="AD12" s="12" t="s">
        <v>106</v>
      </c>
      <c r="AE12" s="12" t="s">
        <v>107</v>
      </c>
      <c r="AF12" s="12" t="s">
        <v>108</v>
      </c>
      <c r="AG12" s="17">
        <v>781046971</v>
      </c>
    </row>
    <row r="13" spans="1:33" ht="15.75" thickBot="1" x14ac:dyDescent="0.3">
      <c r="A13" s="9" t="s">
        <v>31</v>
      </c>
      <c r="B13" s="17" t="s">
        <v>118</v>
      </c>
      <c r="C13" s="9" t="s">
        <v>119</v>
      </c>
      <c r="D13" s="9" t="s">
        <v>120</v>
      </c>
      <c r="E13" s="9">
        <v>40338121</v>
      </c>
      <c r="F13" s="17">
        <v>23858265</v>
      </c>
      <c r="G13" s="17">
        <v>2</v>
      </c>
      <c r="H13" s="9">
        <v>4</v>
      </c>
      <c r="I13" s="9" t="s">
        <v>35</v>
      </c>
      <c r="J13" s="9" t="s">
        <v>71</v>
      </c>
      <c r="K13" s="17">
        <v>339499896</v>
      </c>
      <c r="L13" s="9" t="s">
        <v>37</v>
      </c>
      <c r="M13" s="9" t="s">
        <v>38</v>
      </c>
      <c r="N13" s="17" t="s">
        <v>392</v>
      </c>
      <c r="O13" s="10"/>
      <c r="P13" s="17" t="s">
        <v>393</v>
      </c>
      <c r="Q13" s="10" t="e">
        <v>#N/A</v>
      </c>
      <c r="R13" s="20" t="s">
        <v>39</v>
      </c>
      <c r="S13" s="1" t="s">
        <v>40</v>
      </c>
      <c r="T13" s="19">
        <v>45912</v>
      </c>
      <c r="U13" s="19">
        <v>45909</v>
      </c>
      <c r="V13" s="11">
        <v>45909</v>
      </c>
      <c r="W13" s="12" t="s">
        <v>41</v>
      </c>
      <c r="X13" s="12" t="s">
        <v>42</v>
      </c>
      <c r="Y13" s="12" t="s">
        <v>43</v>
      </c>
      <c r="Z13" s="17" t="s">
        <v>121</v>
      </c>
      <c r="AA13" s="17" t="s">
        <v>122</v>
      </c>
      <c r="AB13" s="12" t="s">
        <v>123</v>
      </c>
      <c r="AC13" s="11">
        <v>45895</v>
      </c>
      <c r="AD13" s="12" t="s">
        <v>99</v>
      </c>
      <c r="AE13" s="12" t="s">
        <v>48</v>
      </c>
      <c r="AF13" s="12" t="s">
        <v>76</v>
      </c>
      <c r="AG13" s="17">
        <v>781152795</v>
      </c>
    </row>
    <row r="14" spans="1:33" ht="15.75" thickBot="1" x14ac:dyDescent="0.3">
      <c r="A14" s="9" t="s">
        <v>31</v>
      </c>
      <c r="B14" s="17" t="s">
        <v>124</v>
      </c>
      <c r="C14" s="9" t="s">
        <v>125</v>
      </c>
      <c r="D14" s="9" t="s">
        <v>126</v>
      </c>
      <c r="E14" s="9">
        <v>47390681</v>
      </c>
      <c r="F14" s="17">
        <v>23880535</v>
      </c>
      <c r="G14" s="17">
        <v>1</v>
      </c>
      <c r="H14" s="9">
        <v>3</v>
      </c>
      <c r="I14" s="9" t="s">
        <v>35</v>
      </c>
      <c r="J14" s="9" t="s">
        <v>71</v>
      </c>
      <c r="K14" s="17">
        <v>339459077</v>
      </c>
      <c r="L14" s="9" t="s">
        <v>37</v>
      </c>
      <c r="M14" s="9" t="s">
        <v>38</v>
      </c>
      <c r="N14" s="17" t="s">
        <v>392</v>
      </c>
      <c r="O14" s="10"/>
      <c r="P14" s="17" t="s">
        <v>393</v>
      </c>
      <c r="Q14" s="10" t="e">
        <v>#N/A</v>
      </c>
      <c r="R14" s="20" t="s">
        <v>39</v>
      </c>
      <c r="S14" s="1" t="s">
        <v>40</v>
      </c>
      <c r="T14" s="19">
        <v>45912</v>
      </c>
      <c r="U14" s="19">
        <v>45910</v>
      </c>
      <c r="V14" s="11">
        <v>45910</v>
      </c>
      <c r="W14" s="12" t="s">
        <v>41</v>
      </c>
      <c r="X14" s="12" t="s">
        <v>42</v>
      </c>
      <c r="Y14" s="12" t="s">
        <v>43</v>
      </c>
      <c r="Z14" s="17" t="s">
        <v>127</v>
      </c>
      <c r="AA14" s="17" t="s">
        <v>128</v>
      </c>
      <c r="AB14" s="12" t="s">
        <v>129</v>
      </c>
      <c r="AC14" s="11">
        <v>45909</v>
      </c>
      <c r="AD14" s="12" t="s">
        <v>99</v>
      </c>
      <c r="AE14" s="12" t="s">
        <v>48</v>
      </c>
      <c r="AF14" s="12" t="s">
        <v>76</v>
      </c>
      <c r="AG14" s="17">
        <v>770960352</v>
      </c>
    </row>
    <row r="15" spans="1:33" ht="15.75" thickBot="1" x14ac:dyDescent="0.3">
      <c r="A15" s="9" t="s">
        <v>31</v>
      </c>
      <c r="B15" s="17" t="s">
        <v>130</v>
      </c>
      <c r="C15" s="9" t="s">
        <v>131</v>
      </c>
      <c r="D15" s="9" t="s">
        <v>132</v>
      </c>
      <c r="E15" s="9">
        <v>47418431</v>
      </c>
      <c r="F15" s="17">
        <v>23934965</v>
      </c>
      <c r="G15" s="17">
        <v>1</v>
      </c>
      <c r="H15" s="9">
        <v>3</v>
      </c>
      <c r="I15" s="9" t="s">
        <v>35</v>
      </c>
      <c r="J15" s="9" t="s">
        <v>71</v>
      </c>
      <c r="K15" s="17">
        <v>339465393</v>
      </c>
      <c r="L15" s="9" t="s">
        <v>37</v>
      </c>
      <c r="M15" s="9" t="s">
        <v>38</v>
      </c>
      <c r="N15" s="17" t="s">
        <v>392</v>
      </c>
      <c r="O15" s="10"/>
      <c r="P15" s="17" t="s">
        <v>393</v>
      </c>
      <c r="Q15" s="10" t="e">
        <v>#N/A</v>
      </c>
      <c r="R15" s="20" t="s">
        <v>39</v>
      </c>
      <c r="S15" s="1" t="s">
        <v>40</v>
      </c>
      <c r="T15" s="19">
        <v>45912</v>
      </c>
      <c r="U15" s="19">
        <v>45910</v>
      </c>
      <c r="V15" s="11">
        <v>45910</v>
      </c>
      <c r="W15" s="12" t="s">
        <v>41</v>
      </c>
      <c r="X15" s="12" t="s">
        <v>42</v>
      </c>
      <c r="Y15" s="12" t="s">
        <v>43</v>
      </c>
      <c r="Z15" s="17" t="s">
        <v>133</v>
      </c>
      <c r="AA15" s="17" t="s">
        <v>134</v>
      </c>
      <c r="AB15" s="12" t="s">
        <v>135</v>
      </c>
      <c r="AC15" s="11">
        <v>45895</v>
      </c>
      <c r="AD15" s="12" t="s">
        <v>136</v>
      </c>
      <c r="AE15" s="12" t="s">
        <v>48</v>
      </c>
      <c r="AF15" s="12" t="s">
        <v>76</v>
      </c>
      <c r="AG15" s="17">
        <v>775430876</v>
      </c>
    </row>
    <row r="16" spans="1:33" ht="15.75" thickBot="1" x14ac:dyDescent="0.3">
      <c r="A16" s="9" t="s">
        <v>31</v>
      </c>
      <c r="B16" s="17" t="s">
        <v>118</v>
      </c>
      <c r="C16" s="9" t="s">
        <v>119</v>
      </c>
      <c r="D16" s="9" t="s">
        <v>120</v>
      </c>
      <c r="E16" s="9">
        <v>39530131</v>
      </c>
      <c r="F16" s="17">
        <v>23935275</v>
      </c>
      <c r="G16" s="17">
        <v>1</v>
      </c>
      <c r="H16" s="9">
        <v>3</v>
      </c>
      <c r="I16" s="9" t="s">
        <v>35</v>
      </c>
      <c r="J16" s="9" t="s">
        <v>71</v>
      </c>
      <c r="K16" s="17">
        <v>339499813</v>
      </c>
      <c r="L16" s="9" t="s">
        <v>37</v>
      </c>
      <c r="M16" s="9" t="s">
        <v>38</v>
      </c>
      <c r="N16" s="17" t="s">
        <v>392</v>
      </c>
      <c r="O16" s="10"/>
      <c r="P16" s="17" t="s">
        <v>393</v>
      </c>
      <c r="Q16" s="10" t="e">
        <v>#N/A</v>
      </c>
      <c r="R16" s="20" t="s">
        <v>39</v>
      </c>
      <c r="S16" s="1" t="s">
        <v>40</v>
      </c>
      <c r="T16" s="19">
        <v>45912</v>
      </c>
      <c r="U16" s="19">
        <v>45910</v>
      </c>
      <c r="V16" s="11">
        <v>45910</v>
      </c>
      <c r="W16" s="12" t="s">
        <v>41</v>
      </c>
      <c r="X16" s="12" t="s">
        <v>42</v>
      </c>
      <c r="Y16" s="12" t="s">
        <v>43</v>
      </c>
      <c r="Z16" s="17" t="s">
        <v>137</v>
      </c>
      <c r="AA16" s="17" t="s">
        <v>138</v>
      </c>
      <c r="AB16" s="12" t="s">
        <v>139</v>
      </c>
      <c r="AC16" s="11">
        <v>45895</v>
      </c>
      <c r="AD16" s="12" t="s">
        <v>84</v>
      </c>
      <c r="AE16" s="12" t="s">
        <v>48</v>
      </c>
      <c r="AF16" s="12" t="s">
        <v>76</v>
      </c>
      <c r="AG16" s="17">
        <v>778130101</v>
      </c>
    </row>
    <row r="17" spans="1:33" ht="15.75" thickBot="1" x14ac:dyDescent="0.3">
      <c r="A17" s="9" t="s">
        <v>31</v>
      </c>
      <c r="B17" s="17" t="s">
        <v>140</v>
      </c>
      <c r="C17" s="9" t="s">
        <v>141</v>
      </c>
      <c r="D17" s="9" t="s">
        <v>142</v>
      </c>
      <c r="E17" s="9">
        <v>47435641</v>
      </c>
      <c r="F17" s="17">
        <v>23964855</v>
      </c>
      <c r="G17" s="17">
        <v>1</v>
      </c>
      <c r="H17" s="9">
        <v>3</v>
      </c>
      <c r="I17" s="9" t="s">
        <v>35</v>
      </c>
      <c r="J17" s="9" t="s">
        <v>71</v>
      </c>
      <c r="K17" s="17">
        <v>339447543</v>
      </c>
      <c r="L17" s="9" t="s">
        <v>37</v>
      </c>
      <c r="M17" s="9" t="s">
        <v>38</v>
      </c>
      <c r="N17" s="17" t="s">
        <v>392</v>
      </c>
      <c r="O17" s="10"/>
      <c r="P17" s="17" t="s">
        <v>393</v>
      </c>
      <c r="Q17" s="10" t="e">
        <v>#N/A</v>
      </c>
      <c r="R17" s="20" t="s">
        <v>39</v>
      </c>
      <c r="S17" s="1" t="s">
        <v>40</v>
      </c>
      <c r="T17" s="19">
        <v>45912</v>
      </c>
      <c r="U17" s="19">
        <v>45910</v>
      </c>
      <c r="V17" s="11">
        <v>45910</v>
      </c>
      <c r="W17" s="12" t="s">
        <v>41</v>
      </c>
      <c r="X17" s="12" t="s">
        <v>42</v>
      </c>
      <c r="Y17" s="12" t="s">
        <v>43</v>
      </c>
      <c r="Z17" s="17" t="s">
        <v>143</v>
      </c>
      <c r="AA17" s="17" t="s">
        <v>144</v>
      </c>
      <c r="AB17" s="12" t="s">
        <v>145</v>
      </c>
      <c r="AC17" s="11">
        <v>45907</v>
      </c>
      <c r="AD17" s="12" t="s">
        <v>47</v>
      </c>
      <c r="AE17" s="12" t="s">
        <v>48</v>
      </c>
      <c r="AF17" s="12" t="s">
        <v>76</v>
      </c>
      <c r="AG17" s="17">
        <v>774419247</v>
      </c>
    </row>
    <row r="18" spans="1:33" ht="15.75" thickBot="1" x14ac:dyDescent="0.3">
      <c r="A18" s="9" t="s">
        <v>31</v>
      </c>
      <c r="B18" s="17" t="s">
        <v>146</v>
      </c>
      <c r="C18" s="9" t="s">
        <v>147</v>
      </c>
      <c r="D18" s="9" t="s">
        <v>148</v>
      </c>
      <c r="E18" s="9">
        <v>47456491</v>
      </c>
      <c r="F18" s="17">
        <v>23987745</v>
      </c>
      <c r="G18" s="17">
        <v>1</v>
      </c>
      <c r="H18" s="9">
        <v>3</v>
      </c>
      <c r="I18" s="9" t="s">
        <v>35</v>
      </c>
      <c r="J18" s="9" t="s">
        <v>149</v>
      </c>
      <c r="K18" s="17">
        <v>339465369</v>
      </c>
      <c r="L18" s="9" t="s">
        <v>37</v>
      </c>
      <c r="M18" s="9" t="s">
        <v>38</v>
      </c>
      <c r="N18" s="17" t="s">
        <v>392</v>
      </c>
      <c r="O18" s="10"/>
      <c r="P18" s="17" t="s">
        <v>393</v>
      </c>
      <c r="Q18" s="10" t="e">
        <v>#N/A</v>
      </c>
      <c r="R18" s="20" t="s">
        <v>39</v>
      </c>
      <c r="S18" s="1" t="s">
        <v>40</v>
      </c>
      <c r="T18" s="19">
        <v>45912</v>
      </c>
      <c r="U18" s="19">
        <v>45910</v>
      </c>
      <c r="V18" s="11">
        <v>45910</v>
      </c>
      <c r="W18" s="12" t="s">
        <v>41</v>
      </c>
      <c r="X18" s="12" t="s">
        <v>42</v>
      </c>
      <c r="Y18" s="12" t="s">
        <v>43</v>
      </c>
      <c r="Z18" s="17" t="s">
        <v>150</v>
      </c>
      <c r="AA18" s="17" t="s">
        <v>151</v>
      </c>
      <c r="AB18" s="12" t="s">
        <v>152</v>
      </c>
      <c r="AC18" s="11">
        <v>45895</v>
      </c>
      <c r="AD18" s="12" t="s">
        <v>99</v>
      </c>
      <c r="AE18" s="12" t="s">
        <v>48</v>
      </c>
      <c r="AF18" s="12" t="s">
        <v>153</v>
      </c>
      <c r="AG18" s="17">
        <v>782155998</v>
      </c>
    </row>
    <row r="19" spans="1:33" ht="15.75" thickBot="1" x14ac:dyDescent="0.3">
      <c r="A19" s="9" t="s">
        <v>77</v>
      </c>
      <c r="B19" s="17" t="s">
        <v>78</v>
      </c>
      <c r="C19" s="9" t="s">
        <v>79</v>
      </c>
      <c r="D19" s="9" t="s">
        <v>154</v>
      </c>
      <c r="E19" s="9">
        <v>47458631</v>
      </c>
      <c r="F19" s="17">
        <v>23990945</v>
      </c>
      <c r="G19" s="17">
        <v>3</v>
      </c>
      <c r="H19" s="9">
        <v>5</v>
      </c>
      <c r="I19" s="9" t="s">
        <v>35</v>
      </c>
      <c r="J19" s="9" t="s">
        <v>71</v>
      </c>
      <c r="K19" s="17">
        <v>338944080</v>
      </c>
      <c r="L19" s="9" t="s">
        <v>37</v>
      </c>
      <c r="M19" s="9" t="s">
        <v>38</v>
      </c>
      <c r="N19" s="17" t="s">
        <v>392</v>
      </c>
      <c r="O19" s="10"/>
      <c r="P19" s="17" t="s">
        <v>393</v>
      </c>
      <c r="Q19" s="10" t="e">
        <v>#N/A</v>
      </c>
      <c r="R19" s="20" t="s">
        <v>39</v>
      </c>
      <c r="S19" s="1" t="s">
        <v>40</v>
      </c>
      <c r="T19" s="19">
        <v>45912</v>
      </c>
      <c r="U19" s="19">
        <v>45908</v>
      </c>
      <c r="V19" s="11">
        <v>45908</v>
      </c>
      <c r="W19" s="12" t="s">
        <v>41</v>
      </c>
      <c r="X19" s="12" t="s">
        <v>42</v>
      </c>
      <c r="Y19" s="12" t="s">
        <v>43</v>
      </c>
      <c r="Z19" s="17" t="s">
        <v>155</v>
      </c>
      <c r="AA19" s="17" t="s">
        <v>156</v>
      </c>
      <c r="AB19" s="12" t="s">
        <v>157</v>
      </c>
      <c r="AC19" s="11">
        <v>45895</v>
      </c>
      <c r="AD19" s="12" t="s">
        <v>99</v>
      </c>
      <c r="AE19" s="12" t="s">
        <v>48</v>
      </c>
      <c r="AF19" s="12" t="s">
        <v>76</v>
      </c>
      <c r="AG19" s="17">
        <v>775353018</v>
      </c>
    </row>
    <row r="20" spans="1:33" ht="15.75" thickBot="1" x14ac:dyDescent="0.3">
      <c r="A20" s="9" t="s">
        <v>31</v>
      </c>
      <c r="B20" s="17" t="s">
        <v>158</v>
      </c>
      <c r="C20" s="9" t="s">
        <v>159</v>
      </c>
      <c r="D20" s="9" t="s">
        <v>160</v>
      </c>
      <c r="E20" s="9">
        <v>47515591</v>
      </c>
      <c r="F20" s="17">
        <v>24070365</v>
      </c>
      <c r="G20" s="17">
        <v>3</v>
      </c>
      <c r="H20" s="9">
        <v>5</v>
      </c>
      <c r="I20" s="9" t="s">
        <v>35</v>
      </c>
      <c r="J20" s="9" t="s">
        <v>71</v>
      </c>
      <c r="K20" s="17">
        <v>339467487</v>
      </c>
      <c r="L20" s="9" t="s">
        <v>37</v>
      </c>
      <c r="M20" s="9" t="s">
        <v>38</v>
      </c>
      <c r="N20" s="17" t="s">
        <v>392</v>
      </c>
      <c r="O20" s="10"/>
      <c r="P20" s="17" t="s">
        <v>393</v>
      </c>
      <c r="Q20" s="10" t="e">
        <v>#N/A</v>
      </c>
      <c r="R20" s="20" t="s">
        <v>39</v>
      </c>
      <c r="S20" s="1" t="s">
        <v>40</v>
      </c>
      <c r="T20" s="19">
        <v>45912</v>
      </c>
      <c r="U20" s="19">
        <v>45908</v>
      </c>
      <c r="V20" s="11">
        <v>45908</v>
      </c>
      <c r="W20" s="12" t="s">
        <v>41</v>
      </c>
      <c r="X20" s="12" t="s">
        <v>42</v>
      </c>
      <c r="Y20" s="12" t="s">
        <v>43</v>
      </c>
      <c r="Z20" s="17" t="s">
        <v>161</v>
      </c>
      <c r="AA20" s="17" t="s">
        <v>162</v>
      </c>
      <c r="AB20" s="12" t="s">
        <v>163</v>
      </c>
      <c r="AC20" s="11">
        <v>45901</v>
      </c>
      <c r="AD20" s="12" t="s">
        <v>84</v>
      </c>
      <c r="AE20" s="12" t="s">
        <v>48</v>
      </c>
      <c r="AF20" s="12" t="s">
        <v>76</v>
      </c>
      <c r="AG20" s="17">
        <v>773784493</v>
      </c>
    </row>
    <row r="21" spans="1:33" ht="15.75" thickBot="1" x14ac:dyDescent="0.3">
      <c r="A21" s="9" t="s">
        <v>77</v>
      </c>
      <c r="B21" s="17" t="s">
        <v>78</v>
      </c>
      <c r="C21" s="9" t="s">
        <v>79</v>
      </c>
      <c r="D21" s="9" t="s">
        <v>164</v>
      </c>
      <c r="E21" s="9">
        <v>47193581</v>
      </c>
      <c r="F21" s="17">
        <v>24098295</v>
      </c>
      <c r="G21" s="17">
        <v>2</v>
      </c>
      <c r="H21" s="9">
        <v>4</v>
      </c>
      <c r="I21" s="9" t="s">
        <v>35</v>
      </c>
      <c r="J21" s="9" t="s">
        <v>71</v>
      </c>
      <c r="K21" s="17">
        <v>338544171</v>
      </c>
      <c r="L21" s="9" t="s">
        <v>37</v>
      </c>
      <c r="M21" s="9" t="s">
        <v>38</v>
      </c>
      <c r="N21" s="17" t="s">
        <v>392</v>
      </c>
      <c r="O21" s="10"/>
      <c r="P21" s="17" t="s">
        <v>393</v>
      </c>
      <c r="Q21" s="10" t="e">
        <v>#N/A</v>
      </c>
      <c r="R21" s="20" t="s">
        <v>39</v>
      </c>
      <c r="S21" s="1" t="s">
        <v>40</v>
      </c>
      <c r="T21" s="19">
        <v>45912</v>
      </c>
      <c r="U21" s="19">
        <v>45909</v>
      </c>
      <c r="V21" s="11">
        <v>45909</v>
      </c>
      <c r="W21" s="12" t="s">
        <v>41</v>
      </c>
      <c r="X21" s="12" t="s">
        <v>42</v>
      </c>
      <c r="Y21" s="12" t="s">
        <v>43</v>
      </c>
      <c r="Z21" s="17" t="s">
        <v>165</v>
      </c>
      <c r="AA21" s="17" t="s">
        <v>166</v>
      </c>
      <c r="AB21" s="12" t="s">
        <v>60</v>
      </c>
      <c r="AC21" s="11">
        <v>45910</v>
      </c>
      <c r="AD21" s="12" t="s">
        <v>167</v>
      </c>
      <c r="AE21" s="12" t="s">
        <v>168</v>
      </c>
      <c r="AF21" s="12" t="s">
        <v>169</v>
      </c>
      <c r="AG21" s="17">
        <v>773224302</v>
      </c>
    </row>
    <row r="22" spans="1:33" ht="15.75" thickBot="1" x14ac:dyDescent="0.3">
      <c r="A22" s="9" t="s">
        <v>31</v>
      </c>
      <c r="B22" s="17" t="s">
        <v>31</v>
      </c>
      <c r="C22" s="9" t="s">
        <v>90</v>
      </c>
      <c r="D22" s="9" t="s">
        <v>170</v>
      </c>
      <c r="E22" s="9">
        <v>40534251</v>
      </c>
      <c r="F22" s="17">
        <v>24166135</v>
      </c>
      <c r="G22" s="17">
        <v>3</v>
      </c>
      <c r="H22" s="9">
        <v>5</v>
      </c>
      <c r="I22" s="9" t="s">
        <v>35</v>
      </c>
      <c r="J22" s="9" t="s">
        <v>171</v>
      </c>
      <c r="K22" s="17">
        <v>339410611</v>
      </c>
      <c r="L22" s="9" t="s">
        <v>172</v>
      </c>
      <c r="M22" s="9" t="s">
        <v>38</v>
      </c>
      <c r="N22" s="17" t="s">
        <v>392</v>
      </c>
      <c r="O22" s="10"/>
      <c r="P22" s="17" t="s">
        <v>393</v>
      </c>
      <c r="Q22" s="10" t="e">
        <v>#N/A</v>
      </c>
      <c r="R22" s="20" t="s">
        <v>39</v>
      </c>
      <c r="S22" s="1" t="s">
        <v>40</v>
      </c>
      <c r="T22" s="19">
        <v>45912</v>
      </c>
      <c r="U22" s="19">
        <v>45908</v>
      </c>
      <c r="V22" s="11">
        <v>45908</v>
      </c>
      <c r="W22" s="12" t="s">
        <v>41</v>
      </c>
      <c r="X22" s="12" t="s">
        <v>42</v>
      </c>
      <c r="Y22" s="12" t="s">
        <v>43</v>
      </c>
      <c r="Z22" s="17" t="s">
        <v>173</v>
      </c>
      <c r="AA22" s="17" t="s">
        <v>174</v>
      </c>
      <c r="AB22" s="12" t="s">
        <v>175</v>
      </c>
      <c r="AC22" s="11" t="s">
        <v>57</v>
      </c>
      <c r="AD22" s="12" t="s">
        <v>58</v>
      </c>
      <c r="AE22" s="12" t="s">
        <v>59</v>
      </c>
      <c r="AF22" s="12" t="s">
        <v>60</v>
      </c>
      <c r="AG22" s="17">
        <v>771562747</v>
      </c>
    </row>
    <row r="23" spans="1:33" ht="15.75" thickBot="1" x14ac:dyDescent="0.3">
      <c r="A23" s="9" t="s">
        <v>50</v>
      </c>
      <c r="B23" s="17" t="s">
        <v>85</v>
      </c>
      <c r="C23" s="9" t="s">
        <v>86</v>
      </c>
      <c r="D23" s="9" t="s">
        <v>176</v>
      </c>
      <c r="E23" s="9">
        <v>40032151</v>
      </c>
      <c r="F23" s="17">
        <v>24170425</v>
      </c>
      <c r="G23" s="17">
        <v>0</v>
      </c>
      <c r="H23" s="9">
        <v>2</v>
      </c>
      <c r="I23" s="9" t="s">
        <v>35</v>
      </c>
      <c r="J23" s="9" t="s">
        <v>71</v>
      </c>
      <c r="K23" s="17">
        <v>339041911</v>
      </c>
      <c r="L23" s="9" t="s">
        <v>37</v>
      </c>
      <c r="M23" s="9" t="s">
        <v>38</v>
      </c>
      <c r="N23" s="17" t="s">
        <v>392</v>
      </c>
      <c r="O23" s="10"/>
      <c r="P23" s="17" t="s">
        <v>393</v>
      </c>
      <c r="Q23" s="10" t="e">
        <v>#N/A</v>
      </c>
      <c r="R23" s="20" t="s">
        <v>39</v>
      </c>
      <c r="S23" s="1" t="s">
        <v>40</v>
      </c>
      <c r="T23" s="19">
        <v>45912</v>
      </c>
      <c r="U23" s="19">
        <v>45911</v>
      </c>
      <c r="V23" s="11">
        <v>45911</v>
      </c>
      <c r="W23" s="12" t="s">
        <v>41</v>
      </c>
      <c r="X23" s="12" t="s">
        <v>42</v>
      </c>
      <c r="Y23" s="12" t="s">
        <v>81</v>
      </c>
      <c r="Z23" s="17" t="s">
        <v>177</v>
      </c>
      <c r="AA23" s="17" t="s">
        <v>178</v>
      </c>
      <c r="AB23" s="12" t="s">
        <v>179</v>
      </c>
      <c r="AC23" s="11">
        <v>45904</v>
      </c>
      <c r="AD23" s="12" t="s">
        <v>84</v>
      </c>
      <c r="AE23" s="12" t="s">
        <v>48</v>
      </c>
      <c r="AF23" s="12" t="s">
        <v>76</v>
      </c>
      <c r="AG23" s="17">
        <v>774638979</v>
      </c>
    </row>
    <row r="24" spans="1:33" ht="15.75" thickBot="1" x14ac:dyDescent="0.3">
      <c r="A24" s="9" t="s">
        <v>50</v>
      </c>
      <c r="B24" s="17" t="s">
        <v>85</v>
      </c>
      <c r="C24" s="9" t="s">
        <v>86</v>
      </c>
      <c r="D24" s="9" t="s">
        <v>176</v>
      </c>
      <c r="E24" s="9">
        <v>35461441</v>
      </c>
      <c r="F24" s="17">
        <v>24191505</v>
      </c>
      <c r="G24" s="17">
        <v>1</v>
      </c>
      <c r="H24" s="9">
        <v>3</v>
      </c>
      <c r="I24" s="9" t="s">
        <v>35</v>
      </c>
      <c r="J24" s="9" t="s">
        <v>71</v>
      </c>
      <c r="K24" s="17">
        <v>339011230</v>
      </c>
      <c r="L24" s="9" t="s">
        <v>37</v>
      </c>
      <c r="M24" s="9" t="s">
        <v>38</v>
      </c>
      <c r="N24" s="17" t="s">
        <v>392</v>
      </c>
      <c r="O24" s="10"/>
      <c r="P24" s="17" t="s">
        <v>393</v>
      </c>
      <c r="Q24" s="10" t="e">
        <v>#N/A</v>
      </c>
      <c r="R24" s="20" t="s">
        <v>39</v>
      </c>
      <c r="S24" s="1" t="s">
        <v>40</v>
      </c>
      <c r="T24" s="19">
        <v>45912</v>
      </c>
      <c r="U24" s="19">
        <v>45910</v>
      </c>
      <c r="V24" s="11">
        <v>45910</v>
      </c>
      <c r="W24" s="12" t="s">
        <v>41</v>
      </c>
      <c r="X24" s="12" t="s">
        <v>42</v>
      </c>
      <c r="Y24" s="12" t="s">
        <v>43</v>
      </c>
      <c r="Z24" s="17" t="s">
        <v>180</v>
      </c>
      <c r="AA24" s="17" t="s">
        <v>181</v>
      </c>
      <c r="AB24" s="12" t="s">
        <v>182</v>
      </c>
      <c r="AC24" s="11">
        <v>45904</v>
      </c>
      <c r="AD24" s="12" t="s">
        <v>84</v>
      </c>
      <c r="AE24" s="12" t="s">
        <v>48</v>
      </c>
      <c r="AF24" s="12" t="s">
        <v>76</v>
      </c>
      <c r="AG24" s="17">
        <v>776505513</v>
      </c>
    </row>
    <row r="25" spans="1:33" ht="15.75" thickBot="1" x14ac:dyDescent="0.3">
      <c r="A25" s="9" t="s">
        <v>31</v>
      </c>
      <c r="B25" s="17" t="s">
        <v>130</v>
      </c>
      <c r="C25" s="9" t="s">
        <v>131</v>
      </c>
      <c r="D25" s="9" t="s">
        <v>132</v>
      </c>
      <c r="E25" s="9">
        <v>47569671</v>
      </c>
      <c r="F25" s="17">
        <v>24196135</v>
      </c>
      <c r="G25" s="17">
        <v>1</v>
      </c>
      <c r="H25" s="9">
        <v>3</v>
      </c>
      <c r="I25" s="9" t="s">
        <v>35</v>
      </c>
      <c r="J25" s="9" t="s">
        <v>71</v>
      </c>
      <c r="K25" s="17">
        <v>339465380</v>
      </c>
      <c r="L25" s="9" t="s">
        <v>37</v>
      </c>
      <c r="M25" s="9" t="s">
        <v>38</v>
      </c>
      <c r="N25" s="17" t="s">
        <v>392</v>
      </c>
      <c r="O25" s="10"/>
      <c r="P25" s="17" t="s">
        <v>393</v>
      </c>
      <c r="Q25" s="10" t="e">
        <v>#N/A</v>
      </c>
      <c r="R25" s="20" t="s">
        <v>39</v>
      </c>
      <c r="S25" s="1" t="s">
        <v>40</v>
      </c>
      <c r="T25" s="19">
        <v>45912</v>
      </c>
      <c r="U25" s="19">
        <v>45910</v>
      </c>
      <c r="V25" s="11">
        <v>45910</v>
      </c>
      <c r="W25" s="12" t="s">
        <v>41</v>
      </c>
      <c r="X25" s="12" t="s">
        <v>42</v>
      </c>
      <c r="Y25" s="12" t="s">
        <v>43</v>
      </c>
      <c r="Z25" s="17" t="s">
        <v>183</v>
      </c>
      <c r="AA25" s="17" t="s">
        <v>184</v>
      </c>
      <c r="AB25" s="12" t="s">
        <v>185</v>
      </c>
      <c r="AC25" s="11">
        <v>45904</v>
      </c>
      <c r="AD25" s="12" t="s">
        <v>84</v>
      </c>
      <c r="AE25" s="12" t="s">
        <v>48</v>
      </c>
      <c r="AF25" s="12" t="s">
        <v>76</v>
      </c>
      <c r="AG25" s="17">
        <v>755211732</v>
      </c>
    </row>
    <row r="26" spans="1:33" ht="15.75" thickBot="1" x14ac:dyDescent="0.3">
      <c r="A26" s="9" t="s">
        <v>31</v>
      </c>
      <c r="B26" s="17" t="s">
        <v>186</v>
      </c>
      <c r="C26" s="9" t="s">
        <v>187</v>
      </c>
      <c r="D26" s="9" t="s">
        <v>188</v>
      </c>
      <c r="E26" s="9">
        <v>47567711</v>
      </c>
      <c r="F26" s="17">
        <v>24203965</v>
      </c>
      <c r="G26" s="17">
        <v>1</v>
      </c>
      <c r="H26" s="9">
        <v>3</v>
      </c>
      <c r="I26" s="9" t="s">
        <v>35</v>
      </c>
      <c r="J26" s="9" t="s">
        <v>71</v>
      </c>
      <c r="K26" s="17">
        <v>339443947</v>
      </c>
      <c r="L26" s="9" t="s">
        <v>37</v>
      </c>
      <c r="M26" s="9" t="s">
        <v>38</v>
      </c>
      <c r="N26" s="17" t="s">
        <v>392</v>
      </c>
      <c r="O26" s="10"/>
      <c r="P26" s="17" t="s">
        <v>393</v>
      </c>
      <c r="Q26" s="10" t="e">
        <v>#N/A</v>
      </c>
      <c r="R26" s="20" t="s">
        <v>39</v>
      </c>
      <c r="S26" s="1" t="s">
        <v>40</v>
      </c>
      <c r="T26" s="19">
        <v>45912</v>
      </c>
      <c r="U26" s="19">
        <v>45910</v>
      </c>
      <c r="V26" s="11">
        <v>45910</v>
      </c>
      <c r="W26" s="12" t="s">
        <v>41</v>
      </c>
      <c r="X26" s="12" t="s">
        <v>42</v>
      </c>
      <c r="Y26" s="12" t="s">
        <v>43</v>
      </c>
      <c r="Z26" s="17" t="s">
        <v>189</v>
      </c>
      <c r="AA26" s="17" t="s">
        <v>190</v>
      </c>
      <c r="AB26" s="12" t="s">
        <v>191</v>
      </c>
      <c r="AC26" s="11">
        <v>45909</v>
      </c>
      <c r="AD26" s="12" t="s">
        <v>99</v>
      </c>
      <c r="AE26" s="12" t="s">
        <v>48</v>
      </c>
      <c r="AF26" s="12" t="s">
        <v>76</v>
      </c>
      <c r="AG26" s="17">
        <v>771092669</v>
      </c>
    </row>
    <row r="27" spans="1:33" ht="15.75" thickBot="1" x14ac:dyDescent="0.3">
      <c r="A27" s="9" t="s">
        <v>50</v>
      </c>
      <c r="B27" s="17" t="s">
        <v>192</v>
      </c>
      <c r="C27" s="9" t="s">
        <v>193</v>
      </c>
      <c r="D27" s="9" t="s">
        <v>194</v>
      </c>
      <c r="E27" s="9">
        <v>42870681</v>
      </c>
      <c r="F27" s="17">
        <v>24207525</v>
      </c>
      <c r="G27" s="17">
        <v>7</v>
      </c>
      <c r="H27" s="9">
        <v>9</v>
      </c>
      <c r="I27" s="9" t="s">
        <v>35</v>
      </c>
      <c r="J27" s="9" t="s">
        <v>149</v>
      </c>
      <c r="K27" s="17">
        <v>339018997</v>
      </c>
      <c r="L27" s="9" t="s">
        <v>37</v>
      </c>
      <c r="M27" s="9" t="s">
        <v>38</v>
      </c>
      <c r="N27" s="17" t="s">
        <v>392</v>
      </c>
      <c r="O27" s="10"/>
      <c r="P27" s="17" t="s">
        <v>393</v>
      </c>
      <c r="Q27" s="10" t="e">
        <v>#N/A</v>
      </c>
      <c r="R27" s="20" t="s">
        <v>39</v>
      </c>
      <c r="S27" s="1" t="s">
        <v>40</v>
      </c>
      <c r="T27" s="19">
        <v>45912</v>
      </c>
      <c r="U27" s="19">
        <v>45904</v>
      </c>
      <c r="V27" s="11">
        <v>45904</v>
      </c>
      <c r="W27" s="12" t="s">
        <v>41</v>
      </c>
      <c r="X27" s="12" t="s">
        <v>42</v>
      </c>
      <c r="Y27" s="12" t="s">
        <v>43</v>
      </c>
      <c r="Z27" s="17" t="s">
        <v>195</v>
      </c>
      <c r="AA27" s="17" t="s">
        <v>196</v>
      </c>
      <c r="AB27" s="12" t="s">
        <v>197</v>
      </c>
      <c r="AC27" s="11">
        <v>45904</v>
      </c>
      <c r="AD27" s="12" t="s">
        <v>99</v>
      </c>
      <c r="AE27" s="12" t="s">
        <v>48</v>
      </c>
      <c r="AF27" s="12" t="s">
        <v>153</v>
      </c>
      <c r="AG27" s="17">
        <v>776521718</v>
      </c>
    </row>
    <row r="28" spans="1:33" ht="15.75" thickBot="1" x14ac:dyDescent="0.3">
      <c r="A28" s="9" t="s">
        <v>50</v>
      </c>
      <c r="B28" s="17" t="s">
        <v>85</v>
      </c>
      <c r="C28" s="9" t="s">
        <v>86</v>
      </c>
      <c r="D28" s="9" t="s">
        <v>198</v>
      </c>
      <c r="E28" s="9">
        <v>39361171</v>
      </c>
      <c r="F28" s="17">
        <v>24208275</v>
      </c>
      <c r="G28" s="17">
        <v>7</v>
      </c>
      <c r="H28" s="9">
        <v>9</v>
      </c>
      <c r="I28" s="9" t="s">
        <v>35</v>
      </c>
      <c r="J28" s="9" t="s">
        <v>71</v>
      </c>
      <c r="K28" s="17">
        <v>339041050</v>
      </c>
      <c r="L28" s="9" t="s">
        <v>37</v>
      </c>
      <c r="M28" s="9" t="s">
        <v>38</v>
      </c>
      <c r="N28" s="17" t="s">
        <v>392</v>
      </c>
      <c r="O28" s="10"/>
      <c r="P28" s="17" t="s">
        <v>393</v>
      </c>
      <c r="Q28" s="10" t="e">
        <v>#N/A</v>
      </c>
      <c r="R28" s="20" t="s">
        <v>39</v>
      </c>
      <c r="S28" s="1" t="s">
        <v>40</v>
      </c>
      <c r="T28" s="19">
        <v>45912</v>
      </c>
      <c r="U28" s="19">
        <v>45904</v>
      </c>
      <c r="V28" s="11">
        <v>45904</v>
      </c>
      <c r="W28" s="12" t="s">
        <v>41</v>
      </c>
      <c r="X28" s="12" t="s">
        <v>42</v>
      </c>
      <c r="Y28" s="12" t="s">
        <v>43</v>
      </c>
      <c r="Z28" s="17" t="s">
        <v>199</v>
      </c>
      <c r="AA28" s="17" t="s">
        <v>200</v>
      </c>
      <c r="AB28" s="12" t="s">
        <v>201</v>
      </c>
      <c r="AC28" s="11">
        <v>45904</v>
      </c>
      <c r="AD28" s="12" t="s">
        <v>84</v>
      </c>
      <c r="AE28" s="12" t="s">
        <v>48</v>
      </c>
      <c r="AF28" s="12" t="s">
        <v>202</v>
      </c>
      <c r="AG28" s="17">
        <v>774030076</v>
      </c>
    </row>
    <row r="29" spans="1:33" ht="15.75" thickBot="1" x14ac:dyDescent="0.3">
      <c r="A29" s="9" t="s">
        <v>31</v>
      </c>
      <c r="B29" s="17" t="s">
        <v>124</v>
      </c>
      <c r="C29" s="9" t="s">
        <v>125</v>
      </c>
      <c r="D29" s="9" t="s">
        <v>203</v>
      </c>
      <c r="E29" s="9">
        <v>41621291</v>
      </c>
      <c r="F29" s="17">
        <v>24263375</v>
      </c>
      <c r="G29" s="17">
        <v>2</v>
      </c>
      <c r="H29" s="9">
        <v>4</v>
      </c>
      <c r="I29" s="9" t="s">
        <v>35</v>
      </c>
      <c r="J29" s="9" t="s">
        <v>71</v>
      </c>
      <c r="K29" s="17">
        <v>339459301</v>
      </c>
      <c r="L29" s="9" t="s">
        <v>37</v>
      </c>
      <c r="M29" s="9" t="s">
        <v>38</v>
      </c>
      <c r="N29" s="17" t="s">
        <v>392</v>
      </c>
      <c r="O29" s="10"/>
      <c r="P29" s="17" t="s">
        <v>393</v>
      </c>
      <c r="Q29" s="10" t="e">
        <v>#N/A</v>
      </c>
      <c r="R29" s="20" t="s">
        <v>39</v>
      </c>
      <c r="S29" s="1" t="s">
        <v>40</v>
      </c>
      <c r="T29" s="19">
        <v>45912</v>
      </c>
      <c r="U29" s="19">
        <v>45909</v>
      </c>
      <c r="V29" s="11">
        <v>45909</v>
      </c>
      <c r="W29" s="12" t="s">
        <v>41</v>
      </c>
      <c r="X29" s="12" t="s">
        <v>42</v>
      </c>
      <c r="Y29" s="12" t="s">
        <v>43</v>
      </c>
      <c r="Z29" s="17" t="s">
        <v>204</v>
      </c>
      <c r="AA29" s="17" t="s">
        <v>205</v>
      </c>
      <c r="AB29" s="12" t="s">
        <v>206</v>
      </c>
      <c r="AC29" s="11">
        <v>45907</v>
      </c>
      <c r="AD29" s="12" t="s">
        <v>47</v>
      </c>
      <c r="AE29" s="12" t="s">
        <v>48</v>
      </c>
      <c r="AF29" s="12" t="s">
        <v>76</v>
      </c>
      <c r="AG29" s="17">
        <v>775019223</v>
      </c>
    </row>
    <row r="30" spans="1:33" ht="15.75" thickBot="1" x14ac:dyDescent="0.3">
      <c r="A30" s="9" t="s">
        <v>31</v>
      </c>
      <c r="B30" s="17" t="s">
        <v>31</v>
      </c>
      <c r="C30" s="9" t="s">
        <v>90</v>
      </c>
      <c r="D30" s="9" t="s">
        <v>207</v>
      </c>
      <c r="E30" s="9">
        <v>47605681</v>
      </c>
      <c r="F30" s="17">
        <v>24368535</v>
      </c>
      <c r="G30" s="17">
        <v>0</v>
      </c>
      <c r="H30" s="9">
        <v>2</v>
      </c>
      <c r="I30" s="9" t="s">
        <v>35</v>
      </c>
      <c r="J30" s="9" t="s">
        <v>71</v>
      </c>
      <c r="K30" s="17">
        <v>339450548</v>
      </c>
      <c r="L30" s="9" t="s">
        <v>37</v>
      </c>
      <c r="M30" s="9" t="s">
        <v>38</v>
      </c>
      <c r="N30" s="17" t="s">
        <v>392</v>
      </c>
      <c r="O30" s="10"/>
      <c r="P30" s="17" t="s">
        <v>393</v>
      </c>
      <c r="Q30" s="10" t="e">
        <v>#N/A</v>
      </c>
      <c r="R30" s="20" t="s">
        <v>39</v>
      </c>
      <c r="S30" s="1" t="s">
        <v>40</v>
      </c>
      <c r="T30" s="19">
        <v>45912</v>
      </c>
      <c r="U30" s="19">
        <v>45911</v>
      </c>
      <c r="V30" s="11">
        <v>45911</v>
      </c>
      <c r="W30" s="12" t="s">
        <v>41</v>
      </c>
      <c r="X30" s="12" t="s">
        <v>42</v>
      </c>
      <c r="Y30" s="12" t="s">
        <v>43</v>
      </c>
      <c r="Z30" s="17" t="s">
        <v>208</v>
      </c>
      <c r="AA30" s="17" t="s">
        <v>209</v>
      </c>
      <c r="AB30" s="12" t="s">
        <v>210</v>
      </c>
      <c r="AC30" s="11">
        <v>45910</v>
      </c>
      <c r="AD30" s="12" t="s">
        <v>136</v>
      </c>
      <c r="AE30" s="12" t="s">
        <v>48</v>
      </c>
      <c r="AF30" s="12" t="s">
        <v>76</v>
      </c>
      <c r="AG30" s="17">
        <v>755209137</v>
      </c>
    </row>
    <row r="31" spans="1:33" ht="15.75" thickBot="1" x14ac:dyDescent="0.3">
      <c r="A31" s="9" t="s">
        <v>31</v>
      </c>
      <c r="B31" s="17" t="s">
        <v>211</v>
      </c>
      <c r="C31" s="9" t="s">
        <v>212</v>
      </c>
      <c r="D31" s="9" t="s">
        <v>213</v>
      </c>
      <c r="E31" s="9">
        <v>41014251</v>
      </c>
      <c r="F31" s="17">
        <v>22956575</v>
      </c>
      <c r="G31" s="17">
        <v>9</v>
      </c>
      <c r="H31" s="9">
        <v>11</v>
      </c>
      <c r="I31" s="9" t="s">
        <v>35</v>
      </c>
      <c r="J31" s="9" t="s">
        <v>71</v>
      </c>
      <c r="K31" s="17">
        <v>339466136</v>
      </c>
      <c r="L31" s="9" t="s">
        <v>37</v>
      </c>
      <c r="M31" s="9" t="s">
        <v>38</v>
      </c>
      <c r="N31" s="17" t="s">
        <v>392</v>
      </c>
      <c r="O31" s="10"/>
      <c r="P31" s="17" t="s">
        <v>393</v>
      </c>
      <c r="Q31" s="10" t="e">
        <v>#N/A</v>
      </c>
      <c r="R31" s="20" t="s">
        <v>39</v>
      </c>
      <c r="S31" s="1" t="s">
        <v>40</v>
      </c>
      <c r="T31" s="19">
        <v>45912</v>
      </c>
      <c r="U31" s="19">
        <v>45902</v>
      </c>
      <c r="V31" s="11">
        <v>45902</v>
      </c>
      <c r="W31" s="12" t="s">
        <v>41</v>
      </c>
      <c r="X31" s="12" t="s">
        <v>42</v>
      </c>
      <c r="Y31" s="12" t="s">
        <v>43</v>
      </c>
      <c r="Z31" s="17" t="s">
        <v>214</v>
      </c>
      <c r="AA31" s="17" t="s">
        <v>215</v>
      </c>
      <c r="AB31" s="12" t="s">
        <v>216</v>
      </c>
      <c r="AC31" s="11">
        <v>45861</v>
      </c>
      <c r="AD31" s="12" t="s">
        <v>75</v>
      </c>
      <c r="AE31" s="12" t="s">
        <v>48</v>
      </c>
      <c r="AF31" s="12" t="s">
        <v>76</v>
      </c>
      <c r="AG31" s="17">
        <v>778737343</v>
      </c>
    </row>
    <row r="32" spans="1:33" ht="15.75" thickBot="1" x14ac:dyDescent="0.3">
      <c r="A32" s="9" t="s">
        <v>31</v>
      </c>
      <c r="B32" s="17" t="s">
        <v>217</v>
      </c>
      <c r="C32" s="9" t="s">
        <v>218</v>
      </c>
      <c r="D32" s="9" t="s">
        <v>219</v>
      </c>
      <c r="E32" s="9">
        <v>40368801</v>
      </c>
      <c r="F32" s="17">
        <v>24059855</v>
      </c>
      <c r="G32" s="17">
        <v>8</v>
      </c>
      <c r="H32" s="9">
        <v>10</v>
      </c>
      <c r="I32" s="9" t="s">
        <v>35</v>
      </c>
      <c r="J32" s="9" t="s">
        <v>71</v>
      </c>
      <c r="K32" s="17">
        <v>339487516</v>
      </c>
      <c r="L32" s="9" t="s">
        <v>37</v>
      </c>
      <c r="M32" s="9" t="s">
        <v>38</v>
      </c>
      <c r="N32" s="17" t="s">
        <v>392</v>
      </c>
      <c r="O32" s="10"/>
      <c r="P32" s="17" t="s">
        <v>393</v>
      </c>
      <c r="Q32" s="10" t="e">
        <v>#N/A</v>
      </c>
      <c r="R32" s="20" t="s">
        <v>39</v>
      </c>
      <c r="S32" s="1" t="s">
        <v>40</v>
      </c>
      <c r="T32" s="19">
        <v>45912</v>
      </c>
      <c r="U32" s="19">
        <v>45903</v>
      </c>
      <c r="V32" s="11">
        <v>45903</v>
      </c>
      <c r="W32" s="12" t="s">
        <v>41</v>
      </c>
      <c r="X32" s="12" t="s">
        <v>42</v>
      </c>
      <c r="Y32" s="12" t="s">
        <v>43</v>
      </c>
      <c r="Z32" s="17" t="s">
        <v>220</v>
      </c>
      <c r="AA32" s="17" t="s">
        <v>221</v>
      </c>
      <c r="AB32" s="12" t="s">
        <v>222</v>
      </c>
      <c r="AC32" s="11">
        <v>45902</v>
      </c>
      <c r="AD32" s="12" t="s">
        <v>47</v>
      </c>
      <c r="AE32" s="12" t="s">
        <v>48</v>
      </c>
      <c r="AF32" s="12" t="s">
        <v>76</v>
      </c>
      <c r="AG32" s="17">
        <v>773638149</v>
      </c>
    </row>
    <row r="33" spans="1:33" ht="15.75" thickBot="1" x14ac:dyDescent="0.3">
      <c r="A33" s="9" t="s">
        <v>50</v>
      </c>
      <c r="B33" s="17" t="s">
        <v>85</v>
      </c>
      <c r="C33" s="9" t="s">
        <v>86</v>
      </c>
      <c r="D33" s="9" t="s">
        <v>198</v>
      </c>
      <c r="E33" s="9">
        <v>45669321</v>
      </c>
      <c r="F33" s="17">
        <v>24126895</v>
      </c>
      <c r="G33" s="17">
        <v>9</v>
      </c>
      <c r="H33" s="9">
        <v>11</v>
      </c>
      <c r="I33" s="9" t="s">
        <v>35</v>
      </c>
      <c r="J33" s="9" t="s">
        <v>149</v>
      </c>
      <c r="K33" s="17">
        <v>339041000</v>
      </c>
      <c r="L33" s="9" t="s">
        <v>37</v>
      </c>
      <c r="M33" s="9" t="s">
        <v>38</v>
      </c>
      <c r="N33" s="17" t="s">
        <v>392</v>
      </c>
      <c r="O33" s="10"/>
      <c r="P33" s="17" t="s">
        <v>393</v>
      </c>
      <c r="Q33" s="10" t="e">
        <v>#N/A</v>
      </c>
      <c r="R33" s="20" t="s">
        <v>39</v>
      </c>
      <c r="S33" s="1" t="s">
        <v>40</v>
      </c>
      <c r="T33" s="19">
        <v>45912</v>
      </c>
      <c r="U33" s="19">
        <v>45902</v>
      </c>
      <c r="V33" s="11">
        <v>45902</v>
      </c>
      <c r="W33" s="12" t="s">
        <v>41</v>
      </c>
      <c r="X33" s="12" t="s">
        <v>42</v>
      </c>
      <c r="Y33" s="12" t="s">
        <v>43</v>
      </c>
      <c r="Z33" s="17" t="s">
        <v>223</v>
      </c>
      <c r="AA33" s="17" t="s">
        <v>224</v>
      </c>
      <c r="AB33" s="12" t="s">
        <v>225</v>
      </c>
      <c r="AC33" s="11">
        <v>45902</v>
      </c>
      <c r="AD33" s="12" t="s">
        <v>226</v>
      </c>
      <c r="AE33" s="12" t="s">
        <v>227</v>
      </c>
      <c r="AF33" s="12" t="s">
        <v>228</v>
      </c>
      <c r="AG33" s="17">
        <v>772770843</v>
      </c>
    </row>
    <row r="34" spans="1:33" ht="15.75" thickBot="1" x14ac:dyDescent="0.3">
      <c r="A34" s="9" t="s">
        <v>31</v>
      </c>
      <c r="B34" s="17" t="s">
        <v>186</v>
      </c>
      <c r="C34" s="9" t="s">
        <v>187</v>
      </c>
      <c r="D34" s="9" t="s">
        <v>188</v>
      </c>
      <c r="E34" s="9">
        <v>42509911</v>
      </c>
      <c r="F34" s="17">
        <v>14650494</v>
      </c>
      <c r="G34" s="17">
        <v>139</v>
      </c>
      <c r="H34" s="9">
        <f>+G34+2</f>
        <v>141</v>
      </c>
      <c r="I34" s="9" t="s">
        <v>35</v>
      </c>
      <c r="J34" s="9" t="s">
        <v>36</v>
      </c>
      <c r="K34" s="17">
        <v>339443955</v>
      </c>
      <c r="L34" s="9" t="s">
        <v>37</v>
      </c>
      <c r="M34" s="13" t="s">
        <v>38</v>
      </c>
      <c r="N34" s="17" t="s">
        <v>392</v>
      </c>
      <c r="O34" s="10"/>
      <c r="P34" s="17" t="s">
        <v>393</v>
      </c>
      <c r="Q34" s="10" t="e">
        <v>#N/A</v>
      </c>
      <c r="R34" s="20" t="s">
        <v>39</v>
      </c>
      <c r="S34" s="1" t="s">
        <v>40</v>
      </c>
      <c r="T34" s="19">
        <v>45912</v>
      </c>
      <c r="U34" s="19">
        <v>45772</v>
      </c>
      <c r="V34" s="11">
        <v>45772</v>
      </c>
      <c r="W34" s="12" t="s">
        <v>41</v>
      </c>
      <c r="X34" s="12" t="s">
        <v>42</v>
      </c>
      <c r="Y34" s="12" t="s">
        <v>43</v>
      </c>
      <c r="Z34" s="17" t="s">
        <v>229</v>
      </c>
      <c r="AA34" s="17" t="s">
        <v>230</v>
      </c>
      <c r="AB34" s="12" t="s">
        <v>231</v>
      </c>
      <c r="AC34" s="11">
        <v>45562</v>
      </c>
      <c r="AD34" s="12"/>
      <c r="AE34" s="5" t="s">
        <v>48</v>
      </c>
      <c r="AF34" s="5" t="s">
        <v>49</v>
      </c>
      <c r="AG34" s="17">
        <v>786030911</v>
      </c>
    </row>
    <row r="35" spans="1:33" ht="15.75" thickBot="1" x14ac:dyDescent="0.3">
      <c r="A35" s="9" t="s">
        <v>31</v>
      </c>
      <c r="B35" s="17" t="s">
        <v>31</v>
      </c>
      <c r="C35" s="9" t="s">
        <v>90</v>
      </c>
      <c r="D35" s="9" t="s">
        <v>232</v>
      </c>
      <c r="E35" s="9">
        <v>42657131</v>
      </c>
      <c r="F35" s="17">
        <v>18361224</v>
      </c>
      <c r="G35" s="17">
        <v>372</v>
      </c>
      <c r="H35" s="9">
        <f t="shared" ref="H35:H38" si="0">+G35+2</f>
        <v>374</v>
      </c>
      <c r="I35" s="9" t="s">
        <v>35</v>
      </c>
      <c r="J35" s="9" t="s">
        <v>36</v>
      </c>
      <c r="K35" s="17">
        <v>339421631</v>
      </c>
      <c r="L35" s="9" t="s">
        <v>37</v>
      </c>
      <c r="M35" s="13" t="s">
        <v>38</v>
      </c>
      <c r="N35" s="17" t="s">
        <v>392</v>
      </c>
      <c r="O35" s="10"/>
      <c r="P35" s="17" t="s">
        <v>393</v>
      </c>
      <c r="Q35" s="10">
        <v>0</v>
      </c>
      <c r="R35" s="20" t="s">
        <v>39</v>
      </c>
      <c r="S35" s="1" t="s">
        <v>40</v>
      </c>
      <c r="T35" s="19">
        <v>45912</v>
      </c>
      <c r="U35" s="19">
        <v>45539</v>
      </c>
      <c r="V35" s="11">
        <v>45539</v>
      </c>
      <c r="W35" s="12" t="s">
        <v>41</v>
      </c>
      <c r="X35" s="12" t="s">
        <v>42</v>
      </c>
      <c r="Y35" s="12" t="s">
        <v>43</v>
      </c>
      <c r="Z35" s="17" t="s">
        <v>233</v>
      </c>
      <c r="AA35" s="17" t="s">
        <v>234</v>
      </c>
      <c r="AB35" s="12" t="s">
        <v>235</v>
      </c>
      <c r="AC35" s="11">
        <v>45827</v>
      </c>
      <c r="AD35" s="12"/>
      <c r="AE35" s="5" t="s">
        <v>236</v>
      </c>
      <c r="AF35" s="5" t="s">
        <v>237</v>
      </c>
      <c r="AG35" s="17">
        <v>775192020</v>
      </c>
    </row>
    <row r="36" spans="1:33" ht="15.75" thickBot="1" x14ac:dyDescent="0.3">
      <c r="A36" s="9" t="s">
        <v>31</v>
      </c>
      <c r="B36" s="17" t="s">
        <v>32</v>
      </c>
      <c r="C36" s="9" t="s">
        <v>33</v>
      </c>
      <c r="D36" s="9" t="s">
        <v>34</v>
      </c>
      <c r="E36" s="9">
        <v>45662681</v>
      </c>
      <c r="F36" s="17">
        <v>21012125</v>
      </c>
      <c r="G36" s="17">
        <v>22</v>
      </c>
      <c r="H36" s="9">
        <f t="shared" si="0"/>
        <v>24</v>
      </c>
      <c r="I36" s="9" t="s">
        <v>35</v>
      </c>
      <c r="J36" s="9" t="s">
        <v>36</v>
      </c>
      <c r="K36" s="17">
        <v>339701113</v>
      </c>
      <c r="L36" s="9" t="s">
        <v>37</v>
      </c>
      <c r="M36" s="13" t="s">
        <v>38</v>
      </c>
      <c r="N36" s="17" t="s">
        <v>392</v>
      </c>
      <c r="O36" s="10"/>
      <c r="P36" s="17" t="s">
        <v>393</v>
      </c>
      <c r="Q36" s="10" t="e">
        <v>#N/A</v>
      </c>
      <c r="R36" s="20" t="s">
        <v>39</v>
      </c>
      <c r="S36" s="1" t="s">
        <v>40</v>
      </c>
      <c r="T36" s="19">
        <v>45912</v>
      </c>
      <c r="U36" s="19">
        <v>45889</v>
      </c>
      <c r="V36" s="11">
        <v>45889</v>
      </c>
      <c r="W36" s="12" t="s">
        <v>41</v>
      </c>
      <c r="X36" s="12" t="s">
        <v>42</v>
      </c>
      <c r="Y36" s="12" t="s">
        <v>43</v>
      </c>
      <c r="Z36" s="17" t="s">
        <v>238</v>
      </c>
      <c r="AA36" s="17" t="s">
        <v>239</v>
      </c>
      <c r="AB36" s="12" t="s">
        <v>240</v>
      </c>
      <c r="AC36" s="11">
        <v>45897</v>
      </c>
      <c r="AD36" s="12"/>
      <c r="AE36" s="5" t="s">
        <v>48</v>
      </c>
      <c r="AF36" s="5" t="s">
        <v>76</v>
      </c>
      <c r="AG36" s="17">
        <v>773790664</v>
      </c>
    </row>
    <row r="37" spans="1:33" ht="15.75" thickBot="1" x14ac:dyDescent="0.3">
      <c r="A37" s="9" t="s">
        <v>31</v>
      </c>
      <c r="B37" s="17" t="s">
        <v>186</v>
      </c>
      <c r="C37" s="9" t="s">
        <v>187</v>
      </c>
      <c r="D37" s="9" t="s">
        <v>188</v>
      </c>
      <c r="E37" s="9">
        <v>44397301</v>
      </c>
      <c r="F37" s="17">
        <v>21271364</v>
      </c>
      <c r="G37" s="17">
        <v>43</v>
      </c>
      <c r="H37" s="9">
        <f t="shared" si="0"/>
        <v>45</v>
      </c>
      <c r="I37" s="9" t="s">
        <v>35</v>
      </c>
      <c r="J37" s="9" t="s">
        <v>149</v>
      </c>
      <c r="K37" s="17">
        <v>339443921</v>
      </c>
      <c r="L37" s="9" t="s">
        <v>37</v>
      </c>
      <c r="M37" s="13" t="s">
        <v>38</v>
      </c>
      <c r="N37" s="17" t="s">
        <v>392</v>
      </c>
      <c r="O37" s="10"/>
      <c r="P37" s="17" t="s">
        <v>393</v>
      </c>
      <c r="Q37" s="10" t="e">
        <v>#N/A</v>
      </c>
      <c r="R37" s="20" t="s">
        <v>39</v>
      </c>
      <c r="S37" s="1" t="s">
        <v>40</v>
      </c>
      <c r="T37" s="19">
        <v>45912</v>
      </c>
      <c r="U37" s="19">
        <v>45868</v>
      </c>
      <c r="V37" s="11">
        <v>45868</v>
      </c>
      <c r="W37" s="12" t="s">
        <v>41</v>
      </c>
      <c r="X37" s="12" t="s">
        <v>42</v>
      </c>
      <c r="Y37" s="12" t="s">
        <v>43</v>
      </c>
      <c r="Z37" s="17" t="s">
        <v>241</v>
      </c>
      <c r="AA37" s="17" t="s">
        <v>242</v>
      </c>
      <c r="AB37" s="12" t="s">
        <v>243</v>
      </c>
      <c r="AC37" s="11">
        <v>45861</v>
      </c>
      <c r="AD37" s="12"/>
      <c r="AE37" s="5" t="s">
        <v>48</v>
      </c>
      <c r="AF37" s="5" t="s">
        <v>153</v>
      </c>
      <c r="AG37" s="17">
        <v>773015235</v>
      </c>
    </row>
    <row r="38" spans="1:33" ht="15.75" thickBot="1" x14ac:dyDescent="0.3">
      <c r="A38" s="9" t="s">
        <v>31</v>
      </c>
      <c r="B38" s="17" t="s">
        <v>32</v>
      </c>
      <c r="C38" s="9" t="s">
        <v>33</v>
      </c>
      <c r="D38" s="9" t="s">
        <v>34</v>
      </c>
      <c r="E38" s="9">
        <v>42905941</v>
      </c>
      <c r="F38" s="17">
        <v>23112815</v>
      </c>
      <c r="G38" s="17">
        <v>41</v>
      </c>
      <c r="H38" s="9">
        <f t="shared" si="0"/>
        <v>43</v>
      </c>
      <c r="I38" s="9" t="s">
        <v>35</v>
      </c>
      <c r="J38" s="9" t="s">
        <v>71</v>
      </c>
      <c r="K38" s="17">
        <v>339453999</v>
      </c>
      <c r="L38" s="9" t="s">
        <v>37</v>
      </c>
      <c r="M38" s="13" t="s">
        <v>38</v>
      </c>
      <c r="N38" s="17" t="s">
        <v>392</v>
      </c>
      <c r="O38" s="10"/>
      <c r="P38" s="17" t="s">
        <v>393</v>
      </c>
      <c r="Q38" s="10" t="e">
        <v>#N/A</v>
      </c>
      <c r="R38" s="20" t="s">
        <v>39</v>
      </c>
      <c r="S38" s="1" t="s">
        <v>40</v>
      </c>
      <c r="T38" s="19">
        <v>45912</v>
      </c>
      <c r="U38" s="19">
        <v>45870</v>
      </c>
      <c r="V38" s="11">
        <v>45870</v>
      </c>
      <c r="W38" s="12" t="s">
        <v>41</v>
      </c>
      <c r="X38" s="12" t="s">
        <v>42</v>
      </c>
      <c r="Y38" s="12" t="s">
        <v>43</v>
      </c>
      <c r="Z38" s="17" t="s">
        <v>244</v>
      </c>
      <c r="AA38" s="17" t="s">
        <v>245</v>
      </c>
      <c r="AB38" s="12" t="s">
        <v>246</v>
      </c>
      <c r="AC38" s="11">
        <v>45868</v>
      </c>
      <c r="AD38" s="12"/>
      <c r="AE38" s="5" t="s">
        <v>48</v>
      </c>
      <c r="AF38" s="5" t="s">
        <v>76</v>
      </c>
      <c r="AG38" s="17">
        <v>771857151</v>
      </c>
    </row>
    <row r="39" spans="1:33" ht="15.75" thickBot="1" x14ac:dyDescent="0.3">
      <c r="A39" s="9" t="s">
        <v>31</v>
      </c>
      <c r="B39" s="17" t="s">
        <v>186</v>
      </c>
      <c r="C39" s="9" t="s">
        <v>187</v>
      </c>
      <c r="D39" s="9" t="s">
        <v>188</v>
      </c>
      <c r="E39" s="9">
        <v>47143711</v>
      </c>
      <c r="F39" s="17">
        <v>23414495</v>
      </c>
      <c r="G39" s="17">
        <v>36</v>
      </c>
      <c r="H39" s="9">
        <v>38</v>
      </c>
      <c r="I39" s="9" t="s">
        <v>35</v>
      </c>
      <c r="J39" s="9" t="s">
        <v>71</v>
      </c>
      <c r="K39" s="17">
        <v>339443956</v>
      </c>
      <c r="L39" s="9" t="s">
        <v>37</v>
      </c>
      <c r="M39" s="13" t="s">
        <v>38</v>
      </c>
      <c r="N39" s="17" t="s">
        <v>392</v>
      </c>
      <c r="O39" s="10"/>
      <c r="P39" s="17" t="s">
        <v>393</v>
      </c>
      <c r="Q39" s="10" t="e">
        <v>#N/A</v>
      </c>
      <c r="R39" s="20" t="s">
        <v>39</v>
      </c>
      <c r="S39" s="1" t="s">
        <v>40</v>
      </c>
      <c r="T39" s="19">
        <v>45912</v>
      </c>
      <c r="U39" s="19">
        <v>45875</v>
      </c>
      <c r="V39" s="11">
        <v>45875</v>
      </c>
      <c r="W39" s="12" t="s">
        <v>41</v>
      </c>
      <c r="X39" s="12" t="s">
        <v>42</v>
      </c>
      <c r="Y39" s="12" t="s">
        <v>43</v>
      </c>
      <c r="Z39" s="17" t="s">
        <v>247</v>
      </c>
      <c r="AA39" s="17" t="s">
        <v>248</v>
      </c>
      <c r="AB39" s="12" t="s">
        <v>249</v>
      </c>
      <c r="AC39" s="11">
        <v>45874</v>
      </c>
      <c r="AD39" s="12"/>
      <c r="AE39" s="5" t="s">
        <v>48</v>
      </c>
      <c r="AF39" s="5" t="s">
        <v>76</v>
      </c>
      <c r="AG39" s="17">
        <v>705068069</v>
      </c>
    </row>
    <row r="40" spans="1:33" ht="15.75" thickBot="1" x14ac:dyDescent="0.3">
      <c r="A40" s="14" t="s">
        <v>31</v>
      </c>
      <c r="B40" s="17" t="s">
        <v>124</v>
      </c>
      <c r="C40" s="12" t="s">
        <v>125</v>
      </c>
      <c r="D40" s="12" t="s">
        <v>126</v>
      </c>
      <c r="E40" s="12">
        <v>36125931</v>
      </c>
      <c r="F40" s="17">
        <v>23345015</v>
      </c>
      <c r="G40" s="17">
        <v>43</v>
      </c>
      <c r="H40" s="9">
        <v>45</v>
      </c>
      <c r="I40" s="15" t="s">
        <v>35</v>
      </c>
      <c r="J40" s="12" t="s">
        <v>171</v>
      </c>
      <c r="K40" s="17">
        <v>339477611</v>
      </c>
      <c r="L40" s="12" t="s">
        <v>172</v>
      </c>
      <c r="M40" s="13" t="s">
        <v>38</v>
      </c>
      <c r="N40" s="17" t="s">
        <v>392</v>
      </c>
      <c r="O40" s="10"/>
      <c r="P40" s="17" t="s">
        <v>393</v>
      </c>
      <c r="Q40" s="10" t="e">
        <v>#N/A</v>
      </c>
      <c r="R40" s="20" t="s">
        <v>39</v>
      </c>
      <c r="S40" s="1" t="s">
        <v>40</v>
      </c>
      <c r="T40" s="19">
        <v>45912</v>
      </c>
      <c r="U40" s="19">
        <v>45868</v>
      </c>
      <c r="V40" s="11">
        <v>45868</v>
      </c>
      <c r="W40" s="12" t="s">
        <v>41</v>
      </c>
      <c r="X40" s="12" t="s">
        <v>42</v>
      </c>
      <c r="Y40" s="12" t="s">
        <v>43</v>
      </c>
      <c r="Z40" s="17" t="s">
        <v>250</v>
      </c>
      <c r="AA40" s="17" t="s">
        <v>251</v>
      </c>
      <c r="AB40" s="12" t="s">
        <v>252</v>
      </c>
      <c r="AC40" s="11" t="s">
        <v>57</v>
      </c>
      <c r="AD40" s="12" t="s">
        <v>58</v>
      </c>
      <c r="AE40" s="12" t="s">
        <v>59</v>
      </c>
      <c r="AF40" s="12" t="s">
        <v>60</v>
      </c>
      <c r="AG40" s="17">
        <v>775331961</v>
      </c>
    </row>
  </sheetData>
  <autoFilter ref="A1:AG40"/>
  <conditionalFormatting sqref="F1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3"/>
  <sheetViews>
    <sheetView zoomScaleNormal="100" workbookViewId="0">
      <selection activeCell="AC11" sqref="AC11"/>
    </sheetView>
  </sheetViews>
  <sheetFormatPr baseColWidth="10" defaultColWidth="10.85546875" defaultRowHeight="15" x14ac:dyDescent="0.25"/>
  <cols>
    <col min="1" max="1" width="12.42578125" style="18" bestFit="1" customWidth="1"/>
    <col min="2" max="2" width="15.7109375" style="18" bestFit="1" customWidth="1"/>
    <col min="3" max="3" width="12.7109375" style="18" bestFit="1" customWidth="1"/>
    <col min="4" max="4" width="9.85546875" style="5" bestFit="1" customWidth="1"/>
    <col min="5" max="5" width="10" style="18" bestFit="1" customWidth="1"/>
    <col min="6" max="6" width="25.5703125" style="5" bestFit="1" customWidth="1"/>
    <col min="7" max="7" width="17" style="18" bestFit="1" customWidth="1"/>
    <col min="8" max="8" width="8.42578125" style="18" bestFit="1" customWidth="1"/>
    <col min="9" max="9" width="27" style="18" bestFit="1" customWidth="1"/>
    <col min="10" max="10" width="14.28515625" style="5" bestFit="1" customWidth="1"/>
    <col min="11" max="11" width="10" style="5" bestFit="1" customWidth="1"/>
    <col min="12" max="12" width="65.28515625" style="18" bestFit="1" customWidth="1"/>
    <col min="13" max="13" width="20.140625" style="18" bestFit="1" customWidth="1"/>
    <col min="14" max="14" width="11.85546875" style="5" bestFit="1" customWidth="1"/>
    <col min="15" max="15" width="9.85546875" style="5" bestFit="1" customWidth="1"/>
    <col min="16" max="16" width="8.42578125" style="5" bestFit="1" customWidth="1"/>
    <col min="17" max="17" width="10.5703125" style="5" bestFit="1" customWidth="1"/>
    <col min="18" max="18" width="10.85546875" style="5" bestFit="1" customWidth="1"/>
    <col min="19" max="19" width="14.28515625" style="18" bestFit="1" customWidth="1"/>
    <col min="20" max="20" width="11.28515625" style="5" bestFit="1" customWidth="1"/>
    <col min="21" max="21" width="18.140625" style="18" bestFit="1" customWidth="1"/>
    <col min="22" max="22" width="28.42578125" style="5" bestFit="1" customWidth="1"/>
    <col min="23" max="23" width="7.28515625" style="5" bestFit="1" customWidth="1"/>
    <col min="24" max="24" width="133.140625" style="18" bestFit="1" customWidth="1"/>
    <col min="25" max="25" width="8.85546875" style="5" bestFit="1" customWidth="1"/>
    <col min="26" max="26" width="29" style="18" bestFit="1" customWidth="1"/>
    <col min="27" max="27" width="10.7109375" style="5" bestFit="1" customWidth="1"/>
    <col min="28" max="16384" width="10.85546875" style="5"/>
  </cols>
  <sheetData>
    <row r="1" spans="1:33" ht="15.75" thickBot="1" x14ac:dyDescent="0.3">
      <c r="A1" s="21" t="s">
        <v>253</v>
      </c>
      <c r="B1" s="21" t="s">
        <v>254</v>
      </c>
      <c r="C1" s="16" t="s">
        <v>255</v>
      </c>
      <c r="D1" s="2" t="s">
        <v>256</v>
      </c>
      <c r="E1" s="16" t="s">
        <v>257</v>
      </c>
      <c r="F1" s="2" t="s">
        <v>258</v>
      </c>
      <c r="G1" s="16" t="s">
        <v>259</v>
      </c>
      <c r="H1" s="16" t="s">
        <v>5</v>
      </c>
      <c r="I1" s="16" t="s">
        <v>260</v>
      </c>
      <c r="J1" s="2" t="s">
        <v>261</v>
      </c>
      <c r="K1" s="2" t="s">
        <v>262</v>
      </c>
      <c r="L1" s="16" t="s">
        <v>263</v>
      </c>
      <c r="M1" s="24" t="s">
        <v>264</v>
      </c>
      <c r="N1" s="2" t="s">
        <v>265</v>
      </c>
      <c r="O1" s="2" t="s">
        <v>266</v>
      </c>
      <c r="P1" s="2" t="s">
        <v>17</v>
      </c>
      <c r="Q1" s="2" t="s">
        <v>267</v>
      </c>
      <c r="R1" s="2" t="s">
        <v>268</v>
      </c>
      <c r="S1" s="16" t="s">
        <v>12</v>
      </c>
      <c r="T1" s="2" t="s">
        <v>269</v>
      </c>
      <c r="U1" s="16" t="s">
        <v>270</v>
      </c>
      <c r="V1" s="2" t="s">
        <v>271</v>
      </c>
      <c r="W1" s="2" t="s">
        <v>272</v>
      </c>
      <c r="X1" s="16" t="s">
        <v>273</v>
      </c>
      <c r="Y1" s="3" t="s">
        <v>21</v>
      </c>
      <c r="Z1" s="25" t="s">
        <v>374</v>
      </c>
      <c r="AA1" s="3" t="s">
        <v>375</v>
      </c>
      <c r="AB1" s="4"/>
      <c r="AC1" s="4"/>
      <c r="AD1" s="4"/>
      <c r="AE1" s="4"/>
      <c r="AF1" s="4"/>
      <c r="AG1" s="4"/>
    </row>
    <row r="2" spans="1:33" ht="15.75" thickBot="1" x14ac:dyDescent="0.3">
      <c r="A2" s="22" t="s">
        <v>274</v>
      </c>
      <c r="B2" s="20" t="s">
        <v>275</v>
      </c>
      <c r="C2" s="20">
        <v>22081495</v>
      </c>
      <c r="D2" s="1" t="s">
        <v>37</v>
      </c>
      <c r="E2" s="20">
        <v>339149838</v>
      </c>
      <c r="F2" s="1" t="s">
        <v>276</v>
      </c>
      <c r="G2" s="23">
        <v>45910</v>
      </c>
      <c r="H2" s="20">
        <v>1</v>
      </c>
      <c r="I2" s="20" t="s">
        <v>277</v>
      </c>
      <c r="J2" s="1"/>
      <c r="K2" s="1"/>
      <c r="L2" s="20">
        <v>785858899</v>
      </c>
      <c r="M2" s="23">
        <v>45912</v>
      </c>
      <c r="N2" s="1" t="s">
        <v>278</v>
      </c>
      <c r="O2" s="1"/>
      <c r="P2" s="1"/>
      <c r="Q2" s="1"/>
      <c r="R2" s="1" t="s">
        <v>279</v>
      </c>
      <c r="S2" s="20" t="s">
        <v>376</v>
      </c>
      <c r="T2" s="1"/>
      <c r="U2" s="20" t="s">
        <v>280</v>
      </c>
      <c r="V2" s="1"/>
      <c r="W2" s="1"/>
      <c r="X2" s="20" t="s">
        <v>281</v>
      </c>
      <c r="Y2" s="4"/>
      <c r="Z2" s="26" t="s">
        <v>377</v>
      </c>
      <c r="AA2" s="4"/>
      <c r="AB2" s="4"/>
      <c r="AC2" s="4"/>
      <c r="AD2" s="4"/>
      <c r="AE2" s="4"/>
      <c r="AF2" s="4"/>
      <c r="AG2" s="4"/>
    </row>
    <row r="3" spans="1:33" ht="15.75" thickBot="1" x14ac:dyDescent="0.3">
      <c r="A3" s="22" t="s">
        <v>274</v>
      </c>
      <c r="B3" s="20" t="s">
        <v>275</v>
      </c>
      <c r="C3" s="20">
        <v>24110465</v>
      </c>
      <c r="D3" s="1" t="s">
        <v>37</v>
      </c>
      <c r="E3" s="20">
        <v>339158950</v>
      </c>
      <c r="F3" s="1" t="s">
        <v>276</v>
      </c>
      <c r="G3" s="23">
        <v>45911</v>
      </c>
      <c r="H3" s="20">
        <v>0</v>
      </c>
      <c r="I3" s="20" t="s">
        <v>300</v>
      </c>
      <c r="J3" s="1"/>
      <c r="K3" s="1"/>
      <c r="L3" s="20">
        <v>775103934</v>
      </c>
      <c r="M3" s="23">
        <v>45912</v>
      </c>
      <c r="N3" s="1" t="s">
        <v>278</v>
      </c>
      <c r="O3" s="1"/>
      <c r="P3" s="1"/>
      <c r="Q3" s="1"/>
      <c r="R3" s="1" t="s">
        <v>279</v>
      </c>
      <c r="S3" s="20" t="s">
        <v>376</v>
      </c>
      <c r="T3" s="1"/>
      <c r="U3" s="20" t="s">
        <v>280</v>
      </c>
      <c r="V3" s="1"/>
      <c r="W3" s="1"/>
      <c r="X3" s="20" t="s">
        <v>301</v>
      </c>
      <c r="Y3" s="4"/>
      <c r="Z3" s="26" t="e">
        <v>#N/A</v>
      </c>
      <c r="AA3" s="4"/>
      <c r="AB3" s="4"/>
      <c r="AC3" s="4"/>
      <c r="AD3" s="4"/>
      <c r="AE3" s="4"/>
      <c r="AF3" s="4"/>
      <c r="AG3" s="4"/>
    </row>
    <row r="4" spans="1:33" ht="15.75" thickBot="1" x14ac:dyDescent="0.3">
      <c r="A4" s="22" t="s">
        <v>274</v>
      </c>
      <c r="B4" s="20" t="s">
        <v>339</v>
      </c>
      <c r="C4" s="20">
        <v>24403585</v>
      </c>
      <c r="D4" s="1" t="s">
        <v>37</v>
      </c>
      <c r="E4" s="20">
        <v>339302972</v>
      </c>
      <c r="F4" s="1" t="s">
        <v>276</v>
      </c>
      <c r="G4" s="23">
        <v>45910</v>
      </c>
      <c r="H4" s="20">
        <v>1</v>
      </c>
      <c r="I4" s="20" t="s">
        <v>340</v>
      </c>
      <c r="J4" s="1"/>
      <c r="K4" s="1"/>
      <c r="L4" s="20">
        <v>779136904</v>
      </c>
      <c r="M4" s="23">
        <v>45912</v>
      </c>
      <c r="N4" s="1" t="s">
        <v>278</v>
      </c>
      <c r="O4" s="1"/>
      <c r="P4" s="1"/>
      <c r="Q4" s="1"/>
      <c r="R4" s="1" t="s">
        <v>279</v>
      </c>
      <c r="S4" s="20" t="s">
        <v>391</v>
      </c>
      <c r="T4" s="1"/>
      <c r="U4" s="20" t="s">
        <v>280</v>
      </c>
      <c r="V4" s="1"/>
      <c r="W4" s="1"/>
      <c r="X4" s="20" t="s">
        <v>341</v>
      </c>
      <c r="Y4" s="4"/>
      <c r="Z4" s="26" t="e">
        <v>#N/A</v>
      </c>
      <c r="AA4" s="4"/>
      <c r="AB4" s="4"/>
      <c r="AC4" s="4"/>
      <c r="AD4" s="4"/>
      <c r="AE4" s="4"/>
      <c r="AF4" s="4"/>
      <c r="AG4" s="4"/>
    </row>
    <row r="5" spans="1:33" ht="15.75" thickBot="1" x14ac:dyDescent="0.3">
      <c r="A5" s="22" t="s">
        <v>274</v>
      </c>
      <c r="B5" s="20" t="s">
        <v>275</v>
      </c>
      <c r="C5" s="20">
        <v>24469635</v>
      </c>
      <c r="D5" s="1" t="s">
        <v>37</v>
      </c>
      <c r="E5" s="20">
        <v>339155967</v>
      </c>
      <c r="F5" s="1" t="s">
        <v>276</v>
      </c>
      <c r="G5" s="23">
        <v>45911</v>
      </c>
      <c r="H5" s="20">
        <v>0</v>
      </c>
      <c r="I5" s="20" t="s">
        <v>363</v>
      </c>
      <c r="J5" s="1"/>
      <c r="K5" s="1"/>
      <c r="L5" s="20">
        <v>774197077</v>
      </c>
      <c r="M5" s="23">
        <v>45912</v>
      </c>
      <c r="N5" s="1" t="s">
        <v>278</v>
      </c>
      <c r="O5" s="1"/>
      <c r="P5" s="1"/>
      <c r="Q5" s="1"/>
      <c r="R5" s="1" t="s">
        <v>279</v>
      </c>
      <c r="S5" s="20" t="s">
        <v>378</v>
      </c>
      <c r="T5" s="1"/>
      <c r="U5" s="20" t="s">
        <v>280</v>
      </c>
      <c r="V5" s="1"/>
      <c r="W5" s="1"/>
      <c r="X5" s="20" t="s">
        <v>364</v>
      </c>
      <c r="Y5" s="4"/>
      <c r="Z5" s="26" t="e">
        <v>#N/A</v>
      </c>
      <c r="AA5" s="4"/>
      <c r="AB5" s="4"/>
      <c r="AC5" s="4"/>
      <c r="AD5" s="4"/>
      <c r="AE5" s="4"/>
      <c r="AF5" s="4"/>
      <c r="AG5" s="4"/>
    </row>
    <row r="6" spans="1:33" ht="15.75" thickBot="1" x14ac:dyDescent="0.3">
      <c r="A6" s="22" t="s">
        <v>274</v>
      </c>
      <c r="B6" s="20" t="s">
        <v>292</v>
      </c>
      <c r="C6" s="20">
        <v>24113735</v>
      </c>
      <c r="D6" s="1" t="s">
        <v>37</v>
      </c>
      <c r="E6" s="20">
        <v>339144214</v>
      </c>
      <c r="F6" s="1" t="s">
        <v>276</v>
      </c>
      <c r="G6" s="23">
        <v>45898</v>
      </c>
      <c r="H6" s="20">
        <v>13</v>
      </c>
      <c r="I6" s="20" t="s">
        <v>304</v>
      </c>
      <c r="J6" s="1"/>
      <c r="K6" s="1" t="s">
        <v>305</v>
      </c>
      <c r="L6" s="20">
        <v>771414153</v>
      </c>
      <c r="M6" s="23">
        <v>45912</v>
      </c>
      <c r="N6" s="1" t="s">
        <v>278</v>
      </c>
      <c r="O6" s="1"/>
      <c r="P6" s="1"/>
      <c r="Q6" s="1"/>
      <c r="R6" s="1" t="s">
        <v>279</v>
      </c>
      <c r="S6" s="20" t="s">
        <v>381</v>
      </c>
      <c r="T6" s="1"/>
      <c r="U6" s="20" t="s">
        <v>280</v>
      </c>
      <c r="V6" s="1"/>
      <c r="W6" s="1"/>
      <c r="X6" s="20" t="s">
        <v>306</v>
      </c>
      <c r="Y6" s="4"/>
      <c r="Z6" s="26" t="s">
        <v>380</v>
      </c>
      <c r="AA6" s="4"/>
      <c r="AB6" s="4"/>
      <c r="AC6" s="4"/>
      <c r="AD6" s="4"/>
      <c r="AE6" s="4"/>
      <c r="AF6" s="4"/>
      <c r="AG6" s="4"/>
    </row>
    <row r="7" spans="1:33" ht="15.75" thickBot="1" x14ac:dyDescent="0.3">
      <c r="A7" s="22" t="s">
        <v>274</v>
      </c>
      <c r="B7" s="20" t="s">
        <v>292</v>
      </c>
      <c r="C7" s="20">
        <v>24421125</v>
      </c>
      <c r="D7" s="1" t="s">
        <v>37</v>
      </c>
      <c r="E7" s="20">
        <v>339721150</v>
      </c>
      <c r="F7" s="1" t="s">
        <v>276</v>
      </c>
      <c r="G7" s="23">
        <v>45910</v>
      </c>
      <c r="H7" s="20">
        <v>1</v>
      </c>
      <c r="I7" s="20" t="s">
        <v>344</v>
      </c>
      <c r="J7" s="1"/>
      <c r="K7" s="1"/>
      <c r="L7" s="20">
        <v>774452811</v>
      </c>
      <c r="M7" s="23">
        <v>45912</v>
      </c>
      <c r="N7" s="1" t="s">
        <v>278</v>
      </c>
      <c r="O7" s="1"/>
      <c r="P7" s="1"/>
      <c r="Q7" s="1"/>
      <c r="R7" s="1" t="s">
        <v>279</v>
      </c>
      <c r="S7" s="20" t="s">
        <v>381</v>
      </c>
      <c r="T7" s="1"/>
      <c r="U7" s="20" t="s">
        <v>280</v>
      </c>
      <c r="V7" s="1"/>
      <c r="W7" s="1"/>
      <c r="X7" s="20" t="s">
        <v>345</v>
      </c>
      <c r="Y7" s="4"/>
      <c r="Z7" s="26" t="e">
        <v>#N/A</v>
      </c>
      <c r="AA7" s="4"/>
      <c r="AB7" s="4"/>
      <c r="AC7" s="4"/>
      <c r="AD7" s="4"/>
      <c r="AE7" s="4"/>
      <c r="AF7" s="4"/>
      <c r="AG7" s="4"/>
    </row>
    <row r="8" spans="1:33" ht="15.75" thickBot="1" x14ac:dyDescent="0.3">
      <c r="A8" s="22" t="s">
        <v>274</v>
      </c>
      <c r="B8" s="20" t="s">
        <v>292</v>
      </c>
      <c r="C8" s="20">
        <v>24474125</v>
      </c>
      <c r="D8" s="1" t="s">
        <v>37</v>
      </c>
      <c r="E8" s="20">
        <v>339155837</v>
      </c>
      <c r="F8" s="1" t="s">
        <v>276</v>
      </c>
      <c r="G8" s="23">
        <v>45911</v>
      </c>
      <c r="H8" s="20">
        <v>0</v>
      </c>
      <c r="I8" s="20" t="s">
        <v>371</v>
      </c>
      <c r="J8" s="1"/>
      <c r="K8" s="1"/>
      <c r="L8" s="20" t="s">
        <v>372</v>
      </c>
      <c r="M8" s="23">
        <v>45912</v>
      </c>
      <c r="N8" s="1" t="s">
        <v>278</v>
      </c>
      <c r="O8" s="1"/>
      <c r="P8" s="1"/>
      <c r="Q8" s="1"/>
      <c r="R8" s="1" t="s">
        <v>279</v>
      </c>
      <c r="S8" s="20" t="s">
        <v>381</v>
      </c>
      <c r="T8" s="1"/>
      <c r="U8" s="20" t="s">
        <v>280</v>
      </c>
      <c r="V8" s="1"/>
      <c r="W8" s="1"/>
      <c r="X8" s="20" t="s">
        <v>373</v>
      </c>
      <c r="Y8" s="4"/>
      <c r="Z8" s="26" t="e">
        <v>#N/A</v>
      </c>
      <c r="AA8" s="4"/>
      <c r="AB8" s="4"/>
      <c r="AC8" s="4"/>
      <c r="AD8" s="4"/>
      <c r="AE8" s="4"/>
      <c r="AF8" s="4"/>
      <c r="AG8" s="4"/>
    </row>
    <row r="9" spans="1:33" ht="15.75" thickBot="1" x14ac:dyDescent="0.3">
      <c r="A9" s="22" t="s">
        <v>274</v>
      </c>
      <c r="B9" s="20" t="s">
        <v>292</v>
      </c>
      <c r="C9" s="20">
        <v>24471385</v>
      </c>
      <c r="D9" s="1" t="s">
        <v>37</v>
      </c>
      <c r="E9" s="20">
        <v>339155842</v>
      </c>
      <c r="F9" s="1" t="s">
        <v>276</v>
      </c>
      <c r="G9" s="23">
        <v>45911</v>
      </c>
      <c r="H9" s="20">
        <v>0</v>
      </c>
      <c r="I9" s="20" t="s">
        <v>367</v>
      </c>
      <c r="J9" s="1"/>
      <c r="K9" s="1"/>
      <c r="L9" s="20">
        <v>771698148</v>
      </c>
      <c r="M9" s="23">
        <v>45912</v>
      </c>
      <c r="N9" s="1" t="s">
        <v>278</v>
      </c>
      <c r="O9" s="1"/>
      <c r="P9" s="1"/>
      <c r="Q9" s="1"/>
      <c r="R9" s="1" t="s">
        <v>279</v>
      </c>
      <c r="S9" s="20" t="s">
        <v>381</v>
      </c>
      <c r="T9" s="1"/>
      <c r="U9" s="20" t="s">
        <v>280</v>
      </c>
      <c r="V9" s="1"/>
      <c r="W9" s="1"/>
      <c r="X9" s="20" t="s">
        <v>368</v>
      </c>
      <c r="Y9" s="4"/>
      <c r="Z9" s="26" t="e">
        <v>#N/A</v>
      </c>
      <c r="AA9" s="4"/>
      <c r="AB9" s="4"/>
      <c r="AC9" s="4"/>
      <c r="AD9" s="4"/>
      <c r="AE9" s="4"/>
      <c r="AF9" s="4"/>
      <c r="AG9" s="4"/>
    </row>
    <row r="10" spans="1:33" ht="15.75" thickBot="1" x14ac:dyDescent="0.3">
      <c r="A10" s="22" t="s">
        <v>274</v>
      </c>
      <c r="B10" s="20" t="s">
        <v>292</v>
      </c>
      <c r="C10" s="20">
        <v>24393105</v>
      </c>
      <c r="D10" s="1" t="s">
        <v>37</v>
      </c>
      <c r="E10" s="20">
        <v>339721147</v>
      </c>
      <c r="F10" s="1" t="s">
        <v>276</v>
      </c>
      <c r="G10" s="23">
        <v>45909</v>
      </c>
      <c r="H10" s="20">
        <v>2</v>
      </c>
      <c r="I10" s="20" t="s">
        <v>331</v>
      </c>
      <c r="J10" s="1"/>
      <c r="K10" s="1"/>
      <c r="L10" s="20">
        <v>751070094</v>
      </c>
      <c r="M10" s="23">
        <v>45912</v>
      </c>
      <c r="N10" s="1" t="s">
        <v>278</v>
      </c>
      <c r="O10" s="1"/>
      <c r="P10" s="1"/>
      <c r="Q10" s="1"/>
      <c r="R10" s="1" t="s">
        <v>279</v>
      </c>
      <c r="S10" s="20" t="s">
        <v>381</v>
      </c>
      <c r="T10" s="1"/>
      <c r="U10" s="20" t="s">
        <v>280</v>
      </c>
      <c r="V10" s="1"/>
      <c r="W10" s="1"/>
      <c r="X10" s="20" t="s">
        <v>332</v>
      </c>
      <c r="Y10" s="4"/>
      <c r="Z10" s="26" t="s">
        <v>384</v>
      </c>
      <c r="AA10" s="4"/>
      <c r="AB10" s="4"/>
      <c r="AC10" s="4"/>
      <c r="AD10" s="4"/>
      <c r="AE10" s="4"/>
      <c r="AF10" s="4"/>
      <c r="AG10" s="4"/>
    </row>
    <row r="11" spans="1:33" ht="15.75" thickBot="1" x14ac:dyDescent="0.3">
      <c r="A11" s="22" t="s">
        <v>274</v>
      </c>
      <c r="B11" s="20" t="s">
        <v>292</v>
      </c>
      <c r="C11" s="20">
        <v>24277015</v>
      </c>
      <c r="D11" s="1" t="s">
        <v>37</v>
      </c>
      <c r="E11" s="20">
        <v>339305029</v>
      </c>
      <c r="F11" s="1" t="s">
        <v>276</v>
      </c>
      <c r="G11" s="23">
        <v>45911</v>
      </c>
      <c r="H11" s="20">
        <v>0</v>
      </c>
      <c r="I11" s="20" t="s">
        <v>323</v>
      </c>
      <c r="J11" s="1"/>
      <c r="K11" s="1"/>
      <c r="L11" s="20">
        <v>774204534</v>
      </c>
      <c r="M11" s="23">
        <v>45912</v>
      </c>
      <c r="N11" s="1" t="s">
        <v>278</v>
      </c>
      <c r="O11" s="1"/>
      <c r="P11" s="1"/>
      <c r="Q11" s="1"/>
      <c r="R11" s="1" t="s">
        <v>279</v>
      </c>
      <c r="S11" s="20" t="s">
        <v>381</v>
      </c>
      <c r="T11" s="1"/>
      <c r="U11" s="20" t="s">
        <v>280</v>
      </c>
      <c r="V11" s="1"/>
      <c r="W11" s="1"/>
      <c r="X11" s="20" t="s">
        <v>324</v>
      </c>
      <c r="Y11" s="4"/>
      <c r="Z11" s="26" t="e">
        <v>#N/A</v>
      </c>
      <c r="AA11" s="4"/>
      <c r="AB11" s="4"/>
      <c r="AC11" s="4"/>
      <c r="AD11" s="4"/>
      <c r="AE11" s="4"/>
      <c r="AF11" s="4"/>
      <c r="AG11" s="4"/>
    </row>
    <row r="12" spans="1:33" ht="15.75" thickBot="1" x14ac:dyDescent="0.3">
      <c r="A12" s="22" t="s">
        <v>274</v>
      </c>
      <c r="B12" s="20" t="s">
        <v>292</v>
      </c>
      <c r="C12" s="20">
        <v>24111525</v>
      </c>
      <c r="D12" s="1" t="s">
        <v>37</v>
      </c>
      <c r="E12" s="20">
        <v>339143762</v>
      </c>
      <c r="F12" s="1" t="s">
        <v>276</v>
      </c>
      <c r="G12" s="23">
        <v>45910</v>
      </c>
      <c r="H12" s="20">
        <v>1</v>
      </c>
      <c r="I12" s="20" t="s">
        <v>302</v>
      </c>
      <c r="J12" s="1"/>
      <c r="K12" s="1"/>
      <c r="L12" s="20">
        <v>772618158</v>
      </c>
      <c r="M12" s="23">
        <v>45912</v>
      </c>
      <c r="N12" s="1" t="s">
        <v>278</v>
      </c>
      <c r="O12" s="1"/>
      <c r="P12" s="1"/>
      <c r="Q12" s="1"/>
      <c r="R12" s="1" t="s">
        <v>279</v>
      </c>
      <c r="S12" s="20" t="s">
        <v>381</v>
      </c>
      <c r="T12" s="1"/>
      <c r="U12" s="20" t="s">
        <v>280</v>
      </c>
      <c r="V12" s="1"/>
      <c r="W12" s="1"/>
      <c r="X12" s="20" t="s">
        <v>303</v>
      </c>
      <c r="Y12" s="4"/>
      <c r="Z12" s="26" t="e">
        <v>#N/A</v>
      </c>
      <c r="AA12" s="4"/>
      <c r="AB12" s="4"/>
      <c r="AC12" s="4"/>
      <c r="AD12" s="4"/>
      <c r="AE12" s="4"/>
      <c r="AF12" s="4"/>
      <c r="AG12" s="4"/>
    </row>
    <row r="13" spans="1:33" ht="15.75" thickBot="1" x14ac:dyDescent="0.3">
      <c r="A13" s="22" t="s">
        <v>274</v>
      </c>
      <c r="B13" s="20" t="s">
        <v>282</v>
      </c>
      <c r="C13" s="20">
        <v>23672825</v>
      </c>
      <c r="D13" s="1" t="s">
        <v>37</v>
      </c>
      <c r="E13" s="20">
        <v>339316831</v>
      </c>
      <c r="F13" s="1" t="s">
        <v>276</v>
      </c>
      <c r="G13" s="23">
        <v>45909</v>
      </c>
      <c r="H13" s="20">
        <v>2</v>
      </c>
      <c r="I13" s="20" t="s">
        <v>283</v>
      </c>
      <c r="J13" s="1"/>
      <c r="K13" s="1"/>
      <c r="L13" s="20">
        <v>771350379</v>
      </c>
      <c r="M13" s="23">
        <v>45912</v>
      </c>
      <c r="N13" s="1" t="s">
        <v>278</v>
      </c>
      <c r="O13" s="1"/>
      <c r="P13" s="1"/>
      <c r="Q13" s="1"/>
      <c r="R13" s="1" t="s">
        <v>279</v>
      </c>
      <c r="S13" s="20" t="s">
        <v>379</v>
      </c>
      <c r="T13" s="1"/>
      <c r="U13" s="20" t="s">
        <v>280</v>
      </c>
      <c r="V13" s="1"/>
      <c r="W13" s="1"/>
      <c r="X13" s="20" t="s">
        <v>284</v>
      </c>
      <c r="Y13" s="4"/>
      <c r="Z13" s="26" t="s">
        <v>380</v>
      </c>
      <c r="AA13" s="4"/>
      <c r="AB13" s="4"/>
      <c r="AC13" s="4"/>
      <c r="AD13" s="4"/>
      <c r="AE13" s="4"/>
      <c r="AF13" s="4"/>
      <c r="AG13" s="4"/>
    </row>
    <row r="14" spans="1:33" ht="15.75" thickBot="1" x14ac:dyDescent="0.3">
      <c r="A14" s="22" t="s">
        <v>274</v>
      </c>
      <c r="B14" s="20" t="s">
        <v>282</v>
      </c>
      <c r="C14" s="20">
        <v>23772915</v>
      </c>
      <c r="D14" s="1" t="s">
        <v>37</v>
      </c>
      <c r="E14" s="20">
        <v>339316864</v>
      </c>
      <c r="F14" s="1" t="s">
        <v>276</v>
      </c>
      <c r="G14" s="23">
        <v>45911</v>
      </c>
      <c r="H14" s="20">
        <v>0</v>
      </c>
      <c r="I14" s="20" t="s">
        <v>285</v>
      </c>
      <c r="J14" s="1"/>
      <c r="K14" s="1"/>
      <c r="L14" s="20">
        <v>773815166</v>
      </c>
      <c r="M14" s="23">
        <v>45912</v>
      </c>
      <c r="N14" s="1" t="s">
        <v>278</v>
      </c>
      <c r="O14" s="1"/>
      <c r="P14" s="1"/>
      <c r="Q14" s="1"/>
      <c r="R14" s="1" t="s">
        <v>279</v>
      </c>
      <c r="S14" s="20" t="s">
        <v>379</v>
      </c>
      <c r="T14" s="1"/>
      <c r="U14" s="20" t="s">
        <v>280</v>
      </c>
      <c r="V14" s="1"/>
      <c r="W14" s="1"/>
      <c r="X14" s="20" t="s">
        <v>286</v>
      </c>
      <c r="Y14" s="4"/>
      <c r="Z14" s="26" t="e">
        <v>#N/A</v>
      </c>
      <c r="AA14" s="4"/>
      <c r="AB14" s="4"/>
      <c r="AC14" s="4"/>
      <c r="AD14" s="4"/>
      <c r="AE14" s="4"/>
      <c r="AF14" s="4"/>
      <c r="AG14" s="4"/>
    </row>
    <row r="15" spans="1:33" ht="15.75" thickBot="1" x14ac:dyDescent="0.3">
      <c r="A15" s="22" t="s">
        <v>274</v>
      </c>
      <c r="B15" s="20" t="s">
        <v>282</v>
      </c>
      <c r="C15" s="20">
        <v>23790575</v>
      </c>
      <c r="D15" s="1" t="s">
        <v>37</v>
      </c>
      <c r="E15" s="20">
        <v>339316863</v>
      </c>
      <c r="F15" s="1" t="s">
        <v>276</v>
      </c>
      <c r="G15" s="23">
        <v>45910</v>
      </c>
      <c r="H15" s="20">
        <v>1</v>
      </c>
      <c r="I15" s="20" t="s">
        <v>287</v>
      </c>
      <c r="J15" s="1"/>
      <c r="K15" s="1"/>
      <c r="L15" s="20">
        <v>771204205</v>
      </c>
      <c r="M15" s="23">
        <v>45912</v>
      </c>
      <c r="N15" s="1" t="s">
        <v>278</v>
      </c>
      <c r="O15" s="1"/>
      <c r="P15" s="1"/>
      <c r="Q15" s="1"/>
      <c r="R15" s="1" t="s">
        <v>279</v>
      </c>
      <c r="S15" s="20" t="s">
        <v>379</v>
      </c>
      <c r="T15" s="1"/>
      <c r="U15" s="20" t="s">
        <v>280</v>
      </c>
      <c r="V15" s="1"/>
      <c r="W15" s="1"/>
      <c r="X15" s="20" t="s">
        <v>288</v>
      </c>
      <c r="Y15" s="4"/>
      <c r="Z15" s="26" t="e">
        <v>#N/A</v>
      </c>
      <c r="AA15" s="4"/>
      <c r="AB15" s="4"/>
      <c r="AC15" s="4"/>
      <c r="AD15" s="4"/>
      <c r="AE15" s="4"/>
      <c r="AF15" s="4"/>
      <c r="AG15" s="4"/>
    </row>
    <row r="16" spans="1:33" ht="15.75" thickBot="1" x14ac:dyDescent="0.3">
      <c r="A16" s="22" t="s">
        <v>274</v>
      </c>
      <c r="B16" s="20" t="s">
        <v>292</v>
      </c>
      <c r="C16" s="20">
        <v>24277655</v>
      </c>
      <c r="D16" s="1" t="s">
        <v>37</v>
      </c>
      <c r="E16" s="20">
        <v>339721796</v>
      </c>
      <c r="F16" s="1" t="s">
        <v>276</v>
      </c>
      <c r="G16" s="23">
        <v>45908</v>
      </c>
      <c r="H16" s="20">
        <v>3</v>
      </c>
      <c r="I16" s="20" t="s">
        <v>325</v>
      </c>
      <c r="J16" s="1"/>
      <c r="K16" s="1"/>
      <c r="L16" s="20">
        <v>770729839</v>
      </c>
      <c r="M16" s="23">
        <v>45912</v>
      </c>
      <c r="N16" s="1" t="s">
        <v>278</v>
      </c>
      <c r="O16" s="1"/>
      <c r="P16" s="1"/>
      <c r="Q16" s="1"/>
      <c r="R16" s="1" t="s">
        <v>279</v>
      </c>
      <c r="S16" s="20" t="s">
        <v>387</v>
      </c>
      <c r="T16" s="1"/>
      <c r="U16" s="20" t="s">
        <v>280</v>
      </c>
      <c r="V16" s="1"/>
      <c r="W16" s="1"/>
      <c r="X16" s="20" t="s">
        <v>326</v>
      </c>
      <c r="Y16" s="4"/>
      <c r="Z16" s="26" t="e">
        <v>#N/A</v>
      </c>
      <c r="AA16" s="4"/>
      <c r="AB16" s="4"/>
      <c r="AC16" s="4"/>
      <c r="AD16" s="4"/>
      <c r="AE16" s="4"/>
      <c r="AF16" s="4"/>
      <c r="AG16" s="4"/>
    </row>
    <row r="17" spans="1:33" ht="15.75" thickBot="1" x14ac:dyDescent="0.3">
      <c r="A17" s="22" t="s">
        <v>274</v>
      </c>
      <c r="B17" s="20" t="s">
        <v>292</v>
      </c>
      <c r="C17" s="20">
        <v>24401885</v>
      </c>
      <c r="D17" s="1" t="s">
        <v>37</v>
      </c>
      <c r="E17" s="20">
        <v>339721798</v>
      </c>
      <c r="F17" s="1" t="s">
        <v>276</v>
      </c>
      <c r="G17" s="23">
        <v>45910</v>
      </c>
      <c r="H17" s="20">
        <v>1</v>
      </c>
      <c r="I17" s="20" t="s">
        <v>337</v>
      </c>
      <c r="J17" s="1"/>
      <c r="K17" s="1"/>
      <c r="L17" s="20" t="s">
        <v>338</v>
      </c>
      <c r="M17" s="23">
        <v>45912</v>
      </c>
      <c r="N17" s="1" t="s">
        <v>278</v>
      </c>
      <c r="O17" s="1"/>
      <c r="P17" s="1"/>
      <c r="Q17" s="1"/>
      <c r="R17" s="1" t="s">
        <v>279</v>
      </c>
      <c r="S17" s="20" t="s">
        <v>387</v>
      </c>
      <c r="T17" s="1"/>
      <c r="U17" s="20" t="s">
        <v>280</v>
      </c>
      <c r="V17" s="1"/>
      <c r="W17" s="1"/>
      <c r="X17" s="20" t="s">
        <v>326</v>
      </c>
      <c r="Y17" s="4"/>
      <c r="Z17" s="26" t="e">
        <v>#N/A</v>
      </c>
      <c r="AA17" s="4"/>
      <c r="AB17" s="4"/>
      <c r="AC17" s="4"/>
      <c r="AD17" s="4"/>
      <c r="AE17" s="4"/>
      <c r="AF17" s="4"/>
      <c r="AG17" s="4"/>
    </row>
    <row r="18" spans="1:33" ht="15.75" thickBot="1" x14ac:dyDescent="0.3">
      <c r="A18" s="22" t="s">
        <v>274</v>
      </c>
      <c r="B18" s="20" t="s">
        <v>292</v>
      </c>
      <c r="C18" s="20">
        <v>24464195</v>
      </c>
      <c r="D18" s="1" t="s">
        <v>37</v>
      </c>
      <c r="E18" s="20">
        <v>339155873</v>
      </c>
      <c r="F18" s="1" t="s">
        <v>276</v>
      </c>
      <c r="G18" s="23">
        <v>45911</v>
      </c>
      <c r="H18" s="20">
        <v>0</v>
      </c>
      <c r="I18" s="20" t="s">
        <v>357</v>
      </c>
      <c r="J18" s="1"/>
      <c r="K18" s="1"/>
      <c r="L18" s="20">
        <v>777436251</v>
      </c>
      <c r="M18" s="23">
        <v>45912</v>
      </c>
      <c r="N18" s="1" t="s">
        <v>278</v>
      </c>
      <c r="O18" s="1"/>
      <c r="P18" s="1"/>
      <c r="Q18" s="1"/>
      <c r="R18" s="1" t="s">
        <v>279</v>
      </c>
      <c r="S18" s="20" t="s">
        <v>389</v>
      </c>
      <c r="T18" s="1"/>
      <c r="U18" s="20" t="s">
        <v>280</v>
      </c>
      <c r="V18" s="1"/>
      <c r="W18" s="1"/>
      <c r="X18" s="20" t="s">
        <v>358</v>
      </c>
      <c r="Y18" s="4"/>
      <c r="Z18" s="26" t="e">
        <v>#N/A</v>
      </c>
      <c r="AA18" s="4"/>
      <c r="AB18" s="4"/>
      <c r="AC18" s="4"/>
      <c r="AD18" s="4"/>
      <c r="AE18" s="4"/>
      <c r="AF18" s="4"/>
      <c r="AG18" s="4"/>
    </row>
    <row r="19" spans="1:33" ht="15.75" thickBot="1" x14ac:dyDescent="0.3">
      <c r="A19" s="22" t="s">
        <v>274</v>
      </c>
      <c r="B19" s="20" t="s">
        <v>292</v>
      </c>
      <c r="C19" s="20">
        <v>24396535</v>
      </c>
      <c r="D19" s="1" t="s">
        <v>37</v>
      </c>
      <c r="E19" s="20">
        <v>339774623</v>
      </c>
      <c r="F19" s="1" t="s">
        <v>276</v>
      </c>
      <c r="G19" s="23">
        <v>45911</v>
      </c>
      <c r="H19" s="20">
        <v>0</v>
      </c>
      <c r="I19" s="20" t="s">
        <v>333</v>
      </c>
      <c r="J19" s="1"/>
      <c r="K19" s="1"/>
      <c r="L19" s="20">
        <v>786003406</v>
      </c>
      <c r="M19" s="23">
        <v>45912</v>
      </c>
      <c r="N19" s="1" t="s">
        <v>278</v>
      </c>
      <c r="O19" s="1"/>
      <c r="P19" s="1"/>
      <c r="Q19" s="1"/>
      <c r="R19" s="1" t="s">
        <v>279</v>
      </c>
      <c r="S19" s="20" t="s">
        <v>389</v>
      </c>
      <c r="T19" s="1"/>
      <c r="U19" s="20" t="s">
        <v>280</v>
      </c>
      <c r="V19" s="1"/>
      <c r="W19" s="1"/>
      <c r="X19" s="20" t="s">
        <v>334</v>
      </c>
      <c r="Y19" s="4"/>
      <c r="Z19" s="26" t="e">
        <v>#N/A</v>
      </c>
      <c r="AA19" s="4"/>
      <c r="AB19" s="4"/>
      <c r="AC19" s="4"/>
      <c r="AD19" s="4"/>
      <c r="AE19" s="4"/>
      <c r="AF19" s="4"/>
      <c r="AG19" s="4"/>
    </row>
    <row r="20" spans="1:33" ht="15.75" thickBot="1" x14ac:dyDescent="0.3">
      <c r="A20" s="22" t="s">
        <v>274</v>
      </c>
      <c r="B20" s="20" t="s">
        <v>292</v>
      </c>
      <c r="C20" s="20">
        <v>24241535</v>
      </c>
      <c r="D20" s="1" t="s">
        <v>37</v>
      </c>
      <c r="E20" s="20">
        <v>339721699</v>
      </c>
      <c r="F20" s="1" t="s">
        <v>296</v>
      </c>
      <c r="G20" s="23">
        <v>45911</v>
      </c>
      <c r="H20" s="20">
        <v>0</v>
      </c>
      <c r="I20" s="20" t="s">
        <v>320</v>
      </c>
      <c r="J20" s="1"/>
      <c r="K20" s="1"/>
      <c r="L20" s="20">
        <v>778202894</v>
      </c>
      <c r="M20" s="23">
        <v>45912</v>
      </c>
      <c r="N20" s="1" t="s">
        <v>278</v>
      </c>
      <c r="O20" s="1"/>
      <c r="P20" s="1"/>
      <c r="Q20" s="1"/>
      <c r="R20" s="1" t="s">
        <v>279</v>
      </c>
      <c r="S20" s="20" t="s">
        <v>389</v>
      </c>
      <c r="T20" s="1"/>
      <c r="U20" s="20" t="s">
        <v>280</v>
      </c>
      <c r="V20" s="1"/>
      <c r="W20" s="1"/>
      <c r="X20" s="20" t="s">
        <v>321</v>
      </c>
      <c r="Y20" s="4"/>
      <c r="Z20" s="26" t="e">
        <v>#N/A</v>
      </c>
      <c r="AA20" s="4"/>
      <c r="AB20" s="4"/>
      <c r="AC20" s="4"/>
      <c r="AD20" s="4"/>
      <c r="AE20" s="4"/>
      <c r="AF20" s="4"/>
      <c r="AG20" s="4"/>
    </row>
    <row r="21" spans="1:33" ht="15.75" thickBot="1" x14ac:dyDescent="0.3">
      <c r="A21" s="22" t="s">
        <v>274</v>
      </c>
      <c r="B21" s="20" t="s">
        <v>292</v>
      </c>
      <c r="C21" s="20">
        <v>24405975</v>
      </c>
      <c r="D21" s="1" t="s">
        <v>37</v>
      </c>
      <c r="E21" s="20">
        <v>339721792</v>
      </c>
      <c r="F21" s="1" t="s">
        <v>276</v>
      </c>
      <c r="G21" s="23">
        <v>45911</v>
      </c>
      <c r="H21" s="20">
        <v>0</v>
      </c>
      <c r="I21" s="20" t="s">
        <v>342</v>
      </c>
      <c r="J21" s="1"/>
      <c r="K21" s="1"/>
      <c r="L21" s="20">
        <v>777565003</v>
      </c>
      <c r="M21" s="23">
        <v>45912</v>
      </c>
      <c r="N21" s="1" t="s">
        <v>278</v>
      </c>
      <c r="O21" s="1"/>
      <c r="P21" s="1"/>
      <c r="Q21" s="1"/>
      <c r="R21" s="1" t="s">
        <v>279</v>
      </c>
      <c r="S21" s="20" t="s">
        <v>389</v>
      </c>
      <c r="T21" s="1"/>
      <c r="U21" s="20" t="s">
        <v>280</v>
      </c>
      <c r="V21" s="1"/>
      <c r="W21" s="1"/>
      <c r="X21" s="20" t="s">
        <v>343</v>
      </c>
      <c r="Y21" s="4"/>
      <c r="Z21" s="26" t="e">
        <v>#N/A</v>
      </c>
      <c r="AA21" s="4"/>
      <c r="AB21" s="4"/>
      <c r="AC21" s="4"/>
      <c r="AD21" s="4"/>
      <c r="AE21" s="4"/>
      <c r="AF21" s="4"/>
      <c r="AG21" s="4"/>
    </row>
    <row r="22" spans="1:33" ht="15.75" thickBot="1" x14ac:dyDescent="0.3">
      <c r="A22" s="22" t="s">
        <v>274</v>
      </c>
      <c r="B22" s="20" t="s">
        <v>292</v>
      </c>
      <c r="C22" s="20">
        <v>24465065</v>
      </c>
      <c r="D22" s="1" t="s">
        <v>37</v>
      </c>
      <c r="E22" s="20">
        <v>339721142</v>
      </c>
      <c r="F22" s="1" t="s">
        <v>276</v>
      </c>
      <c r="G22" s="23">
        <v>45911</v>
      </c>
      <c r="H22" s="20">
        <v>0</v>
      </c>
      <c r="I22" s="20" t="s">
        <v>359</v>
      </c>
      <c r="J22" s="1"/>
      <c r="K22" s="1"/>
      <c r="L22" s="20">
        <v>775612668</v>
      </c>
      <c r="M22" s="23">
        <v>45912</v>
      </c>
      <c r="N22" s="1" t="s">
        <v>278</v>
      </c>
      <c r="O22" s="1"/>
      <c r="P22" s="1"/>
      <c r="Q22" s="1"/>
      <c r="R22" s="1" t="s">
        <v>279</v>
      </c>
      <c r="S22" s="20" t="s">
        <v>389</v>
      </c>
      <c r="T22" s="1"/>
      <c r="U22" s="20" t="s">
        <v>280</v>
      </c>
      <c r="V22" s="1"/>
      <c r="W22" s="1"/>
      <c r="X22" s="20" t="s">
        <v>360</v>
      </c>
      <c r="Y22" s="4"/>
      <c r="Z22" s="26" t="e">
        <v>#N/A</v>
      </c>
      <c r="AA22" s="4"/>
      <c r="AB22" s="4"/>
      <c r="AC22" s="4"/>
      <c r="AD22" s="4"/>
      <c r="AE22" s="4"/>
      <c r="AF22" s="4"/>
      <c r="AG22" s="4"/>
    </row>
    <row r="23" spans="1:33" ht="15.75" thickBot="1" x14ac:dyDescent="0.3">
      <c r="A23" s="22" t="s">
        <v>274</v>
      </c>
      <c r="B23" s="20" t="s">
        <v>292</v>
      </c>
      <c r="C23" s="20">
        <v>24153465</v>
      </c>
      <c r="D23" s="1" t="s">
        <v>37</v>
      </c>
      <c r="E23" s="20">
        <v>339146159</v>
      </c>
      <c r="F23" s="1" t="s">
        <v>276</v>
      </c>
      <c r="G23" s="23">
        <v>45910</v>
      </c>
      <c r="H23" s="20">
        <v>1</v>
      </c>
      <c r="I23" s="20" t="s">
        <v>313</v>
      </c>
      <c r="J23" s="1"/>
      <c r="K23" s="1"/>
      <c r="L23" s="20">
        <v>774806126</v>
      </c>
      <c r="M23" s="23">
        <v>45912</v>
      </c>
      <c r="N23" s="1" t="s">
        <v>278</v>
      </c>
      <c r="O23" s="1"/>
      <c r="P23" s="1"/>
      <c r="Q23" s="1"/>
      <c r="R23" s="1" t="s">
        <v>279</v>
      </c>
      <c r="S23" s="20" t="s">
        <v>389</v>
      </c>
      <c r="T23" s="1"/>
      <c r="U23" s="20" t="s">
        <v>280</v>
      </c>
      <c r="V23" s="1"/>
      <c r="W23" s="1"/>
      <c r="X23" s="20" t="s">
        <v>314</v>
      </c>
      <c r="Y23" s="4"/>
      <c r="Z23" s="26" t="e">
        <v>#N/A</v>
      </c>
      <c r="AA23" s="4"/>
      <c r="AB23" s="4"/>
      <c r="AC23" s="4"/>
      <c r="AD23" s="4"/>
      <c r="AE23" s="4"/>
      <c r="AF23" s="4"/>
      <c r="AG23" s="4"/>
    </row>
    <row r="24" spans="1:33" ht="15.75" thickBot="1" x14ac:dyDescent="0.3">
      <c r="A24" s="22" t="s">
        <v>274</v>
      </c>
      <c r="B24" s="20" t="s">
        <v>292</v>
      </c>
      <c r="C24" s="20">
        <v>24429025</v>
      </c>
      <c r="D24" s="1" t="s">
        <v>37</v>
      </c>
      <c r="E24" s="20">
        <v>339155841</v>
      </c>
      <c r="F24" s="1" t="s">
        <v>276</v>
      </c>
      <c r="G24" s="23">
        <v>45910</v>
      </c>
      <c r="H24" s="20">
        <v>1</v>
      </c>
      <c r="I24" s="20" t="s">
        <v>350</v>
      </c>
      <c r="J24" s="1"/>
      <c r="K24" s="1"/>
      <c r="L24" s="20" t="s">
        <v>351</v>
      </c>
      <c r="M24" s="23">
        <v>45912</v>
      </c>
      <c r="N24" s="1" t="s">
        <v>278</v>
      </c>
      <c r="O24" s="1"/>
      <c r="P24" s="1"/>
      <c r="Q24" s="1"/>
      <c r="R24" s="1" t="s">
        <v>279</v>
      </c>
      <c r="S24" s="20" t="s">
        <v>389</v>
      </c>
      <c r="T24" s="1"/>
      <c r="U24" s="20" t="s">
        <v>280</v>
      </c>
      <c r="V24" s="1"/>
      <c r="W24" s="1"/>
      <c r="X24" s="20" t="s">
        <v>352</v>
      </c>
      <c r="Y24" s="4"/>
      <c r="Z24" s="26" t="e">
        <v>#N/A</v>
      </c>
      <c r="AA24" s="4"/>
      <c r="AB24" s="4"/>
      <c r="AC24" s="4"/>
      <c r="AD24" s="4"/>
      <c r="AE24" s="4"/>
      <c r="AF24" s="4"/>
      <c r="AG24" s="4"/>
    </row>
    <row r="25" spans="1:33" ht="15.75" thickBot="1" x14ac:dyDescent="0.3">
      <c r="A25" s="22" t="s">
        <v>274</v>
      </c>
      <c r="B25" s="20" t="s">
        <v>292</v>
      </c>
      <c r="C25" s="20">
        <v>24143795</v>
      </c>
      <c r="D25" s="1" t="s">
        <v>37</v>
      </c>
      <c r="E25" s="20">
        <v>339729375</v>
      </c>
      <c r="F25" s="1" t="s">
        <v>276</v>
      </c>
      <c r="G25" s="23">
        <v>45911</v>
      </c>
      <c r="H25" s="20">
        <v>0</v>
      </c>
      <c r="I25" s="20" t="s">
        <v>307</v>
      </c>
      <c r="J25" s="1"/>
      <c r="K25" s="1"/>
      <c r="L25" s="20">
        <v>775406573</v>
      </c>
      <c r="M25" s="23">
        <v>45912</v>
      </c>
      <c r="N25" s="1" t="s">
        <v>278</v>
      </c>
      <c r="O25" s="1"/>
      <c r="P25" s="1"/>
      <c r="Q25" s="1"/>
      <c r="R25" s="1" t="s">
        <v>279</v>
      </c>
      <c r="S25" s="20" t="s">
        <v>382</v>
      </c>
      <c r="T25" s="1"/>
      <c r="U25" s="20" t="s">
        <v>280</v>
      </c>
      <c r="V25" s="1"/>
      <c r="W25" s="1"/>
      <c r="X25" s="20" t="s">
        <v>308</v>
      </c>
      <c r="Y25" s="4"/>
      <c r="Z25" s="26" t="e">
        <v>#N/A</v>
      </c>
      <c r="AA25" s="4"/>
      <c r="AB25" s="4"/>
      <c r="AC25" s="4"/>
      <c r="AD25" s="4"/>
      <c r="AE25" s="4"/>
      <c r="AF25" s="4"/>
      <c r="AG25" s="4"/>
    </row>
    <row r="26" spans="1:33" ht="15.75" thickBot="1" x14ac:dyDescent="0.3">
      <c r="A26" s="22" t="s">
        <v>274</v>
      </c>
      <c r="B26" s="20" t="s">
        <v>292</v>
      </c>
      <c r="C26" s="20">
        <v>24261465</v>
      </c>
      <c r="D26" s="1" t="s">
        <v>37</v>
      </c>
      <c r="E26" s="20">
        <v>339729689</v>
      </c>
      <c r="F26" s="1" t="s">
        <v>276</v>
      </c>
      <c r="G26" s="23">
        <v>45911</v>
      </c>
      <c r="H26" s="20">
        <v>0</v>
      </c>
      <c r="I26" s="20" t="s">
        <v>322</v>
      </c>
      <c r="J26" s="1"/>
      <c r="K26" s="1"/>
      <c r="L26" s="20">
        <v>779614570</v>
      </c>
      <c r="M26" s="23">
        <v>45912</v>
      </c>
      <c r="N26" s="1" t="s">
        <v>278</v>
      </c>
      <c r="O26" s="1"/>
      <c r="P26" s="1"/>
      <c r="Q26" s="1"/>
      <c r="R26" s="1" t="s">
        <v>279</v>
      </c>
      <c r="S26" s="20" t="s">
        <v>382</v>
      </c>
      <c r="T26" s="1"/>
      <c r="U26" s="20" t="s">
        <v>280</v>
      </c>
      <c r="V26" s="1"/>
      <c r="W26" s="1"/>
      <c r="X26" s="20" t="s">
        <v>308</v>
      </c>
      <c r="Y26" s="4"/>
      <c r="Z26" s="26" t="e">
        <v>#N/A</v>
      </c>
      <c r="AA26" s="4"/>
      <c r="AB26" s="4"/>
      <c r="AC26" s="4"/>
      <c r="AD26" s="4"/>
      <c r="AE26" s="4"/>
      <c r="AF26" s="4"/>
      <c r="AG26" s="4"/>
    </row>
    <row r="27" spans="1:33" ht="15.75" thickBot="1" x14ac:dyDescent="0.3">
      <c r="A27" s="22" t="s">
        <v>274</v>
      </c>
      <c r="B27" s="20" t="s">
        <v>292</v>
      </c>
      <c r="C27" s="20">
        <v>23913715</v>
      </c>
      <c r="D27" s="1" t="s">
        <v>37</v>
      </c>
      <c r="E27" s="20">
        <v>339304969</v>
      </c>
      <c r="F27" s="1" t="s">
        <v>276</v>
      </c>
      <c r="G27" s="23">
        <v>45911</v>
      </c>
      <c r="H27" s="20">
        <v>0</v>
      </c>
      <c r="I27" s="20" t="s">
        <v>293</v>
      </c>
      <c r="J27" s="1"/>
      <c r="K27" s="1"/>
      <c r="L27" s="20" t="s">
        <v>294</v>
      </c>
      <c r="M27" s="23">
        <v>45912</v>
      </c>
      <c r="N27" s="1" t="s">
        <v>278</v>
      </c>
      <c r="O27" s="1"/>
      <c r="P27" s="1"/>
      <c r="Q27" s="1"/>
      <c r="R27" s="1" t="s">
        <v>279</v>
      </c>
      <c r="S27" s="20" t="s">
        <v>382</v>
      </c>
      <c r="T27" s="1"/>
      <c r="U27" s="20" t="s">
        <v>280</v>
      </c>
      <c r="V27" s="1"/>
      <c r="W27" s="1"/>
      <c r="X27" s="20" t="s">
        <v>295</v>
      </c>
      <c r="Y27" s="4"/>
      <c r="Z27" s="26" t="e">
        <v>#N/A</v>
      </c>
      <c r="AA27" s="4"/>
      <c r="AB27" s="4"/>
      <c r="AC27" s="4"/>
      <c r="AD27" s="4"/>
      <c r="AE27" s="4"/>
      <c r="AF27" s="4"/>
      <c r="AG27" s="4"/>
    </row>
    <row r="28" spans="1:33" ht="15.75" thickBot="1" x14ac:dyDescent="0.3">
      <c r="A28" s="22" t="s">
        <v>274</v>
      </c>
      <c r="B28" s="20" t="s">
        <v>292</v>
      </c>
      <c r="C28" s="20">
        <v>24423085</v>
      </c>
      <c r="D28" s="1" t="s">
        <v>37</v>
      </c>
      <c r="E28" s="20">
        <v>339721155</v>
      </c>
      <c r="F28" s="1" t="s">
        <v>276</v>
      </c>
      <c r="G28" s="23">
        <v>45910</v>
      </c>
      <c r="H28" s="20">
        <v>1</v>
      </c>
      <c r="I28" s="20" t="s">
        <v>348</v>
      </c>
      <c r="J28" s="1"/>
      <c r="K28" s="1"/>
      <c r="L28" s="20">
        <v>770672079</v>
      </c>
      <c r="M28" s="23">
        <v>45912</v>
      </c>
      <c r="N28" s="1" t="s">
        <v>278</v>
      </c>
      <c r="O28" s="1"/>
      <c r="P28" s="1"/>
      <c r="Q28" s="1"/>
      <c r="R28" s="1" t="s">
        <v>279</v>
      </c>
      <c r="S28" s="20" t="s">
        <v>382</v>
      </c>
      <c r="T28" s="1"/>
      <c r="U28" s="20" t="s">
        <v>280</v>
      </c>
      <c r="V28" s="1"/>
      <c r="W28" s="1"/>
      <c r="X28" s="20" t="s">
        <v>349</v>
      </c>
      <c r="Y28" s="4"/>
      <c r="Z28" s="26" t="s">
        <v>386</v>
      </c>
      <c r="AA28" s="4"/>
      <c r="AB28" s="4"/>
      <c r="AC28" s="4"/>
      <c r="AD28" s="4"/>
      <c r="AE28" s="4"/>
      <c r="AF28" s="4"/>
      <c r="AG28" s="4"/>
    </row>
    <row r="29" spans="1:33" ht="15.75" thickBot="1" x14ac:dyDescent="0.3">
      <c r="A29" s="22" t="s">
        <v>274</v>
      </c>
      <c r="B29" s="20" t="s">
        <v>292</v>
      </c>
      <c r="C29" s="20">
        <v>24422645</v>
      </c>
      <c r="D29" s="1" t="s">
        <v>37</v>
      </c>
      <c r="E29" s="20">
        <v>339721154</v>
      </c>
      <c r="F29" s="1" t="s">
        <v>276</v>
      </c>
      <c r="G29" s="23">
        <v>45910</v>
      </c>
      <c r="H29" s="20">
        <v>1</v>
      </c>
      <c r="I29" s="20" t="s">
        <v>346</v>
      </c>
      <c r="J29" s="1"/>
      <c r="K29" s="1"/>
      <c r="L29" s="20">
        <v>778294358</v>
      </c>
      <c r="M29" s="23">
        <v>45912</v>
      </c>
      <c r="N29" s="1" t="s">
        <v>278</v>
      </c>
      <c r="O29" s="1"/>
      <c r="P29" s="1"/>
      <c r="Q29" s="1"/>
      <c r="R29" s="1" t="s">
        <v>279</v>
      </c>
      <c r="S29" s="20" t="s">
        <v>382</v>
      </c>
      <c r="T29" s="1"/>
      <c r="U29" s="20" t="s">
        <v>280</v>
      </c>
      <c r="V29" s="1"/>
      <c r="W29" s="1"/>
      <c r="X29" s="20" t="s">
        <v>347</v>
      </c>
      <c r="Y29" s="4"/>
      <c r="Z29" s="26" t="s">
        <v>386</v>
      </c>
      <c r="AA29" s="4"/>
      <c r="AB29" s="4"/>
      <c r="AC29" s="4"/>
      <c r="AD29" s="4"/>
      <c r="AE29" s="4"/>
      <c r="AF29" s="4"/>
      <c r="AG29" s="4"/>
    </row>
    <row r="30" spans="1:33" ht="15.75" thickBot="1" x14ac:dyDescent="0.3">
      <c r="A30" s="22" t="s">
        <v>274</v>
      </c>
      <c r="B30" s="20" t="s">
        <v>275</v>
      </c>
      <c r="C30" s="20">
        <v>24238565</v>
      </c>
      <c r="D30" s="1" t="s">
        <v>37</v>
      </c>
      <c r="E30" s="20">
        <v>339319874</v>
      </c>
      <c r="F30" s="1" t="s">
        <v>296</v>
      </c>
      <c r="G30" s="23">
        <v>45911</v>
      </c>
      <c r="H30" s="20">
        <v>0</v>
      </c>
      <c r="I30" s="20" t="s">
        <v>318</v>
      </c>
      <c r="J30" s="1"/>
      <c r="K30" s="1"/>
      <c r="L30" s="20">
        <v>772313482</v>
      </c>
      <c r="M30" s="23">
        <v>45912</v>
      </c>
      <c r="N30" s="1" t="s">
        <v>278</v>
      </c>
      <c r="O30" s="1"/>
      <c r="P30" s="1"/>
      <c r="Q30" s="1"/>
      <c r="R30" s="1" t="s">
        <v>279</v>
      </c>
      <c r="S30" s="20" t="s">
        <v>383</v>
      </c>
      <c r="T30" s="1"/>
      <c r="U30" s="20" t="s">
        <v>280</v>
      </c>
      <c r="V30" s="1"/>
      <c r="W30" s="1"/>
      <c r="X30" s="20" t="s">
        <v>319</v>
      </c>
      <c r="Y30" s="4"/>
      <c r="Z30" s="26" t="s">
        <v>380</v>
      </c>
      <c r="AA30" s="4"/>
      <c r="AB30" s="4"/>
      <c r="AC30" s="4"/>
      <c r="AD30" s="4"/>
      <c r="AE30" s="4"/>
      <c r="AF30" s="4"/>
      <c r="AG30" s="4"/>
    </row>
    <row r="31" spans="1:33" ht="15.75" thickBot="1" x14ac:dyDescent="0.3">
      <c r="A31" s="22" t="s">
        <v>274</v>
      </c>
      <c r="B31" s="20" t="s">
        <v>275</v>
      </c>
      <c r="C31" s="20">
        <v>24468065</v>
      </c>
      <c r="D31" s="1" t="s">
        <v>37</v>
      </c>
      <c r="E31" s="20">
        <v>339776355</v>
      </c>
      <c r="F31" s="1" t="s">
        <v>276</v>
      </c>
      <c r="G31" s="23">
        <v>45911</v>
      </c>
      <c r="H31" s="20">
        <v>0</v>
      </c>
      <c r="I31" s="20" t="s">
        <v>361</v>
      </c>
      <c r="J31" s="1"/>
      <c r="K31" s="1"/>
      <c r="L31" s="20">
        <v>778564441</v>
      </c>
      <c r="M31" s="23">
        <v>45912</v>
      </c>
      <c r="N31" s="1" t="s">
        <v>278</v>
      </c>
      <c r="O31" s="1"/>
      <c r="P31" s="1"/>
      <c r="Q31" s="1"/>
      <c r="R31" s="1" t="s">
        <v>279</v>
      </c>
      <c r="S31" s="20" t="s">
        <v>383</v>
      </c>
      <c r="T31" s="1"/>
      <c r="U31" s="20" t="s">
        <v>280</v>
      </c>
      <c r="V31" s="1"/>
      <c r="W31" s="1"/>
      <c r="X31" s="20" t="s">
        <v>362</v>
      </c>
      <c r="Y31" s="4"/>
      <c r="Z31" s="26" t="e">
        <v>#N/A</v>
      </c>
      <c r="AA31" s="4"/>
      <c r="AB31" s="4"/>
      <c r="AC31" s="4"/>
      <c r="AD31" s="4"/>
      <c r="AE31" s="4"/>
      <c r="AF31" s="4"/>
      <c r="AG31" s="4"/>
    </row>
    <row r="32" spans="1:33" ht="15.75" thickBot="1" x14ac:dyDescent="0.3">
      <c r="A32" s="22" t="s">
        <v>274</v>
      </c>
      <c r="B32" s="20" t="s">
        <v>289</v>
      </c>
      <c r="C32" s="20">
        <v>23901665</v>
      </c>
      <c r="D32" s="1" t="s">
        <v>37</v>
      </c>
      <c r="E32" s="20">
        <v>339154923</v>
      </c>
      <c r="F32" s="1" t="s">
        <v>276</v>
      </c>
      <c r="G32" s="23">
        <v>45910</v>
      </c>
      <c r="H32" s="20">
        <v>1</v>
      </c>
      <c r="I32" s="20" t="s">
        <v>290</v>
      </c>
      <c r="J32" s="1"/>
      <c r="K32" s="1"/>
      <c r="L32" s="20">
        <v>776516469</v>
      </c>
      <c r="M32" s="23">
        <v>45912</v>
      </c>
      <c r="N32" s="1" t="s">
        <v>278</v>
      </c>
      <c r="O32" s="1"/>
      <c r="P32" s="1"/>
      <c r="Q32" s="1"/>
      <c r="R32" s="1" t="s">
        <v>279</v>
      </c>
      <c r="S32" s="20" t="s">
        <v>390</v>
      </c>
      <c r="T32" s="1"/>
      <c r="U32" s="20" t="s">
        <v>280</v>
      </c>
      <c r="V32" s="1"/>
      <c r="W32" s="1"/>
      <c r="X32" s="20" t="s">
        <v>291</v>
      </c>
      <c r="Y32" s="4"/>
      <c r="Z32" s="26" t="e">
        <v>#N/A</v>
      </c>
      <c r="AA32" s="4"/>
      <c r="AB32" s="4"/>
      <c r="AC32" s="4"/>
      <c r="AD32" s="4"/>
      <c r="AE32" s="4"/>
      <c r="AF32" s="4"/>
      <c r="AG32" s="4"/>
    </row>
    <row r="33" spans="1:33" ht="15.75" thickBot="1" x14ac:dyDescent="0.3">
      <c r="A33" s="22" t="s">
        <v>274</v>
      </c>
      <c r="B33" s="20" t="s">
        <v>289</v>
      </c>
      <c r="C33" s="20">
        <v>24145945</v>
      </c>
      <c r="D33" s="1" t="s">
        <v>37</v>
      </c>
      <c r="E33" s="20">
        <v>339154932</v>
      </c>
      <c r="F33" s="1" t="s">
        <v>276</v>
      </c>
      <c r="G33" s="23">
        <v>45911</v>
      </c>
      <c r="H33" s="20">
        <v>0</v>
      </c>
      <c r="I33" s="20" t="s">
        <v>311</v>
      </c>
      <c r="J33" s="1"/>
      <c r="K33" s="1"/>
      <c r="L33" s="20">
        <v>776537696</v>
      </c>
      <c r="M33" s="23">
        <v>45912</v>
      </c>
      <c r="N33" s="1" t="s">
        <v>278</v>
      </c>
      <c r="O33" s="1"/>
      <c r="P33" s="1"/>
      <c r="Q33" s="1"/>
      <c r="R33" s="1" t="s">
        <v>279</v>
      </c>
      <c r="S33" s="20" t="s">
        <v>390</v>
      </c>
      <c r="T33" s="1"/>
      <c r="U33" s="20" t="s">
        <v>280</v>
      </c>
      <c r="V33" s="1"/>
      <c r="W33" s="1"/>
      <c r="X33" s="20" t="s">
        <v>312</v>
      </c>
      <c r="Y33" s="4"/>
      <c r="Z33" s="26" t="e">
        <v>#N/A</v>
      </c>
      <c r="AA33" s="4"/>
      <c r="AB33" s="4"/>
      <c r="AC33" s="4"/>
      <c r="AD33" s="4"/>
      <c r="AE33" s="4"/>
      <c r="AF33" s="4"/>
      <c r="AG33" s="4"/>
    </row>
    <row r="34" spans="1:33" ht="15.75" thickBot="1" x14ac:dyDescent="0.3">
      <c r="A34" s="22" t="s">
        <v>274</v>
      </c>
      <c r="B34" s="20" t="s">
        <v>289</v>
      </c>
      <c r="C34" s="20">
        <v>24227085</v>
      </c>
      <c r="D34" s="1" t="s">
        <v>37</v>
      </c>
      <c r="E34" s="20">
        <v>339154935</v>
      </c>
      <c r="F34" s="1" t="s">
        <v>276</v>
      </c>
      <c r="G34" s="23">
        <v>45906</v>
      </c>
      <c r="H34" s="20">
        <v>5</v>
      </c>
      <c r="I34" s="20" t="s">
        <v>315</v>
      </c>
      <c r="J34" s="1"/>
      <c r="K34" s="1"/>
      <c r="L34" s="20" t="s">
        <v>316</v>
      </c>
      <c r="M34" s="23">
        <v>45912</v>
      </c>
      <c r="N34" s="1" t="s">
        <v>278</v>
      </c>
      <c r="O34" s="1"/>
      <c r="P34" s="1"/>
      <c r="Q34" s="1"/>
      <c r="R34" s="1" t="s">
        <v>279</v>
      </c>
      <c r="S34" s="20" t="s">
        <v>390</v>
      </c>
      <c r="T34" s="1"/>
      <c r="U34" s="20" t="s">
        <v>280</v>
      </c>
      <c r="V34" s="1"/>
      <c r="W34" s="1"/>
      <c r="X34" s="20" t="s">
        <v>317</v>
      </c>
      <c r="Y34" s="4"/>
      <c r="Z34" s="26" t="e">
        <v>#N/A</v>
      </c>
      <c r="AA34" s="4"/>
      <c r="AB34" s="4"/>
      <c r="AC34" s="4"/>
      <c r="AD34" s="4"/>
      <c r="AE34" s="4"/>
      <c r="AF34" s="4"/>
      <c r="AG34" s="4"/>
    </row>
    <row r="35" spans="1:33" ht="15.75" thickBot="1" x14ac:dyDescent="0.3">
      <c r="A35" s="22" t="s">
        <v>274</v>
      </c>
      <c r="B35" s="20" t="s">
        <v>289</v>
      </c>
      <c r="C35" s="20">
        <v>24291795</v>
      </c>
      <c r="D35" s="1" t="s">
        <v>37</v>
      </c>
      <c r="E35" s="20">
        <v>339313526</v>
      </c>
      <c r="F35" s="1" t="s">
        <v>276</v>
      </c>
      <c r="G35" s="23">
        <v>45907</v>
      </c>
      <c r="H35" s="20">
        <v>4</v>
      </c>
      <c r="I35" s="20" t="s">
        <v>327</v>
      </c>
      <c r="J35" s="1"/>
      <c r="K35" s="1"/>
      <c r="L35" s="20">
        <v>772533971</v>
      </c>
      <c r="M35" s="23">
        <v>45912</v>
      </c>
      <c r="N35" s="1" t="s">
        <v>278</v>
      </c>
      <c r="O35" s="1"/>
      <c r="P35" s="1"/>
      <c r="Q35" s="1"/>
      <c r="R35" s="1" t="s">
        <v>279</v>
      </c>
      <c r="S35" s="20" t="s">
        <v>390</v>
      </c>
      <c r="T35" s="1"/>
      <c r="U35" s="20" t="s">
        <v>280</v>
      </c>
      <c r="V35" s="1"/>
      <c r="W35" s="1"/>
      <c r="X35" s="20" t="s">
        <v>328</v>
      </c>
      <c r="Y35" s="4"/>
      <c r="Z35" s="26" t="e">
        <v>#N/A</v>
      </c>
      <c r="AA35" s="4"/>
      <c r="AB35" s="4"/>
      <c r="AC35" s="4"/>
      <c r="AD35" s="4"/>
      <c r="AE35" s="4"/>
      <c r="AF35" s="4"/>
      <c r="AG35" s="4"/>
    </row>
    <row r="36" spans="1:33" ht="15.75" thickBot="1" x14ac:dyDescent="0.3">
      <c r="A36" s="22" t="s">
        <v>274</v>
      </c>
      <c r="B36" s="20" t="s">
        <v>292</v>
      </c>
      <c r="C36" s="20">
        <v>24472545</v>
      </c>
      <c r="D36" s="1" t="s">
        <v>37</v>
      </c>
      <c r="E36" s="20">
        <v>339721212</v>
      </c>
      <c r="F36" s="1" t="s">
        <v>276</v>
      </c>
      <c r="G36" s="23">
        <v>45911</v>
      </c>
      <c r="H36" s="20">
        <v>0</v>
      </c>
      <c r="I36" s="20" t="s">
        <v>369</v>
      </c>
      <c r="J36" s="1"/>
      <c r="K36" s="1"/>
      <c r="L36" s="20">
        <v>765614808</v>
      </c>
      <c r="M36" s="23">
        <v>45912</v>
      </c>
      <c r="N36" s="1" t="s">
        <v>278</v>
      </c>
      <c r="O36" s="1"/>
      <c r="P36" s="1"/>
      <c r="Q36" s="1"/>
      <c r="R36" s="1" t="s">
        <v>279</v>
      </c>
      <c r="S36" s="20" t="s">
        <v>385</v>
      </c>
      <c r="T36" s="1"/>
      <c r="U36" s="20" t="s">
        <v>280</v>
      </c>
      <c r="V36" s="1"/>
      <c r="W36" s="1"/>
      <c r="X36" s="20" t="s">
        <v>370</v>
      </c>
      <c r="Y36" s="4"/>
      <c r="Z36" s="26" t="e">
        <v>#N/A</v>
      </c>
      <c r="AA36" s="4"/>
      <c r="AB36" s="4"/>
      <c r="AC36" s="4"/>
      <c r="AD36" s="4"/>
      <c r="AE36" s="4"/>
      <c r="AF36" s="4"/>
      <c r="AG36" s="4"/>
    </row>
    <row r="37" spans="1:33" ht="15.75" thickBot="1" x14ac:dyDescent="0.3">
      <c r="A37" s="22" t="s">
        <v>274</v>
      </c>
      <c r="B37" s="20" t="s">
        <v>292</v>
      </c>
      <c r="C37" s="20">
        <v>24430825</v>
      </c>
      <c r="D37" s="1" t="s">
        <v>37</v>
      </c>
      <c r="E37" s="20">
        <v>339302139</v>
      </c>
      <c r="F37" s="1" t="s">
        <v>276</v>
      </c>
      <c r="G37" s="23">
        <v>45910</v>
      </c>
      <c r="H37" s="20">
        <v>1</v>
      </c>
      <c r="I37" s="20" t="s">
        <v>353</v>
      </c>
      <c r="J37" s="1"/>
      <c r="K37" s="1"/>
      <c r="L37" s="20">
        <v>781377691</v>
      </c>
      <c r="M37" s="23">
        <v>45912</v>
      </c>
      <c r="N37" s="1" t="s">
        <v>278</v>
      </c>
      <c r="O37" s="1"/>
      <c r="P37" s="1"/>
      <c r="Q37" s="1"/>
      <c r="R37" s="1" t="s">
        <v>279</v>
      </c>
      <c r="S37" s="20" t="s">
        <v>385</v>
      </c>
      <c r="T37" s="1"/>
      <c r="U37" s="20" t="s">
        <v>280</v>
      </c>
      <c r="V37" s="1"/>
      <c r="W37" s="1"/>
      <c r="X37" s="20" t="s">
        <v>354</v>
      </c>
      <c r="Y37" s="4"/>
      <c r="Z37" s="26" t="e">
        <v>#N/A</v>
      </c>
      <c r="AA37" s="4"/>
      <c r="AB37" s="4"/>
      <c r="AC37" s="4"/>
      <c r="AD37" s="4"/>
      <c r="AE37" s="4"/>
      <c r="AF37" s="4"/>
      <c r="AG37" s="4"/>
    </row>
    <row r="38" spans="1:33" ht="15.75" thickBot="1" x14ac:dyDescent="0.3">
      <c r="A38" s="22" t="s">
        <v>274</v>
      </c>
      <c r="B38" s="20" t="s">
        <v>292</v>
      </c>
      <c r="C38" s="20">
        <v>23914055</v>
      </c>
      <c r="D38" s="1" t="s">
        <v>37</v>
      </c>
      <c r="E38" s="20">
        <v>339316050</v>
      </c>
      <c r="F38" s="1" t="s">
        <v>296</v>
      </c>
      <c r="G38" s="23">
        <v>45911</v>
      </c>
      <c r="H38" s="20">
        <v>0</v>
      </c>
      <c r="I38" s="20" t="s">
        <v>297</v>
      </c>
      <c r="J38" s="1"/>
      <c r="K38" s="1"/>
      <c r="L38" s="20" t="s">
        <v>298</v>
      </c>
      <c r="M38" s="23">
        <v>45912</v>
      </c>
      <c r="N38" s="1" t="s">
        <v>278</v>
      </c>
      <c r="O38" s="1"/>
      <c r="P38" s="1"/>
      <c r="Q38" s="1"/>
      <c r="R38" s="1" t="s">
        <v>279</v>
      </c>
      <c r="S38" s="20" t="s">
        <v>388</v>
      </c>
      <c r="T38" s="1"/>
      <c r="U38" s="20" t="s">
        <v>280</v>
      </c>
      <c r="V38" s="1"/>
      <c r="W38" s="1"/>
      <c r="X38" s="20" t="s">
        <v>299</v>
      </c>
      <c r="Y38" s="4"/>
      <c r="Z38" s="26" t="e">
        <v>#N/A</v>
      </c>
      <c r="AA38" s="4"/>
      <c r="AB38" s="4"/>
      <c r="AC38" s="4"/>
      <c r="AD38" s="4"/>
      <c r="AE38" s="4"/>
      <c r="AF38" s="4"/>
      <c r="AG38" s="4"/>
    </row>
    <row r="39" spans="1:33" ht="15.75" thickBot="1" x14ac:dyDescent="0.3">
      <c r="A39" s="22" t="s">
        <v>274</v>
      </c>
      <c r="B39" s="20" t="s">
        <v>292</v>
      </c>
      <c r="C39" s="20">
        <v>24144325</v>
      </c>
      <c r="D39" s="1" t="s">
        <v>37</v>
      </c>
      <c r="E39" s="20">
        <v>339316134</v>
      </c>
      <c r="F39" s="1" t="s">
        <v>276</v>
      </c>
      <c r="G39" s="23">
        <v>45911</v>
      </c>
      <c r="H39" s="20">
        <v>0</v>
      </c>
      <c r="I39" s="20" t="s">
        <v>309</v>
      </c>
      <c r="J39" s="1"/>
      <c r="K39" s="1"/>
      <c r="L39" s="20">
        <v>774480277</v>
      </c>
      <c r="M39" s="23">
        <v>45912</v>
      </c>
      <c r="N39" s="1" t="s">
        <v>278</v>
      </c>
      <c r="O39" s="1"/>
      <c r="P39" s="1"/>
      <c r="Q39" s="1"/>
      <c r="R39" s="1" t="s">
        <v>279</v>
      </c>
      <c r="S39" s="20" t="s">
        <v>388</v>
      </c>
      <c r="T39" s="1"/>
      <c r="U39" s="20" t="s">
        <v>280</v>
      </c>
      <c r="V39" s="1"/>
      <c r="W39" s="1"/>
      <c r="X39" s="20" t="s">
        <v>310</v>
      </c>
      <c r="Y39" s="4"/>
      <c r="Z39" s="26" t="e">
        <v>#N/A</v>
      </c>
      <c r="AA39" s="4"/>
      <c r="AB39" s="4"/>
      <c r="AC39" s="4"/>
      <c r="AD39" s="4"/>
      <c r="AE39" s="4"/>
      <c r="AF39" s="4"/>
      <c r="AG39" s="4"/>
    </row>
    <row r="40" spans="1:33" ht="15.75" thickBot="1" x14ac:dyDescent="0.3">
      <c r="A40" s="22" t="s">
        <v>274</v>
      </c>
      <c r="B40" s="20" t="s">
        <v>292</v>
      </c>
      <c r="C40" s="20">
        <v>24398265</v>
      </c>
      <c r="D40" s="1" t="s">
        <v>37</v>
      </c>
      <c r="E40" s="20">
        <v>339729898</v>
      </c>
      <c r="F40" s="1" t="s">
        <v>276</v>
      </c>
      <c r="G40" s="23">
        <v>45911</v>
      </c>
      <c r="H40" s="20">
        <v>0</v>
      </c>
      <c r="I40" s="20" t="s">
        <v>335</v>
      </c>
      <c r="J40" s="1"/>
      <c r="K40" s="1"/>
      <c r="L40" s="20">
        <v>785954489</v>
      </c>
      <c r="M40" s="23">
        <v>45912</v>
      </c>
      <c r="N40" s="1" t="s">
        <v>278</v>
      </c>
      <c r="O40" s="1"/>
      <c r="P40" s="1"/>
      <c r="Q40" s="1"/>
      <c r="R40" s="1" t="s">
        <v>279</v>
      </c>
      <c r="S40" s="20" t="s">
        <v>388</v>
      </c>
      <c r="T40" s="1"/>
      <c r="U40" s="20" t="s">
        <v>280</v>
      </c>
      <c r="V40" s="1"/>
      <c r="W40" s="1"/>
      <c r="X40" s="20" t="s">
        <v>336</v>
      </c>
      <c r="Y40" s="4"/>
      <c r="Z40" s="26" t="e">
        <v>#N/A</v>
      </c>
      <c r="AA40" s="4"/>
      <c r="AB40" s="4"/>
      <c r="AC40" s="4"/>
      <c r="AD40" s="4"/>
      <c r="AE40" s="4"/>
      <c r="AF40" s="4"/>
      <c r="AG40" s="4"/>
    </row>
    <row r="41" spans="1:33" ht="15.75" thickBot="1" x14ac:dyDescent="0.3">
      <c r="A41" s="22" t="s">
        <v>274</v>
      </c>
      <c r="B41" s="20" t="s">
        <v>292</v>
      </c>
      <c r="C41" s="20">
        <v>24440985</v>
      </c>
      <c r="D41" s="1" t="s">
        <v>37</v>
      </c>
      <c r="E41" s="20">
        <v>339721192</v>
      </c>
      <c r="F41" s="1" t="s">
        <v>276</v>
      </c>
      <c r="G41" s="23">
        <v>45911</v>
      </c>
      <c r="H41" s="20">
        <v>0</v>
      </c>
      <c r="I41" s="20" t="s">
        <v>355</v>
      </c>
      <c r="J41" s="1"/>
      <c r="K41" s="1"/>
      <c r="L41" s="20">
        <v>773244232</v>
      </c>
      <c r="M41" s="23">
        <v>45912</v>
      </c>
      <c r="N41" s="1" t="s">
        <v>278</v>
      </c>
      <c r="O41" s="1"/>
      <c r="P41" s="1"/>
      <c r="Q41" s="1"/>
      <c r="R41" s="1" t="s">
        <v>279</v>
      </c>
      <c r="S41" s="20" t="s">
        <v>388</v>
      </c>
      <c r="T41" s="1"/>
      <c r="U41" s="20" t="s">
        <v>280</v>
      </c>
      <c r="V41" s="1"/>
      <c r="W41" s="1"/>
      <c r="X41" s="20" t="s">
        <v>356</v>
      </c>
      <c r="Y41" s="4"/>
      <c r="Z41" s="26" t="e">
        <v>#N/A</v>
      </c>
      <c r="AA41" s="4"/>
      <c r="AB41" s="4"/>
      <c r="AC41" s="4"/>
      <c r="AD41" s="4"/>
      <c r="AE41" s="4"/>
      <c r="AF41" s="4"/>
      <c r="AG41" s="4"/>
    </row>
    <row r="42" spans="1:33" ht="15.75" thickBot="1" x14ac:dyDescent="0.3">
      <c r="A42" s="22" t="s">
        <v>274</v>
      </c>
      <c r="B42" s="20" t="s">
        <v>292</v>
      </c>
      <c r="C42" s="20">
        <v>24392065</v>
      </c>
      <c r="D42" s="1" t="s">
        <v>37</v>
      </c>
      <c r="E42" s="20">
        <v>339302659</v>
      </c>
      <c r="F42" s="1" t="s">
        <v>276</v>
      </c>
      <c r="G42" s="23">
        <v>45911</v>
      </c>
      <c r="H42" s="20">
        <v>0</v>
      </c>
      <c r="I42" s="20" t="s">
        <v>329</v>
      </c>
      <c r="J42" s="1"/>
      <c r="K42" s="1"/>
      <c r="L42" s="20">
        <v>773354535</v>
      </c>
      <c r="M42" s="23">
        <v>45912</v>
      </c>
      <c r="N42" s="1" t="s">
        <v>278</v>
      </c>
      <c r="O42" s="1"/>
      <c r="P42" s="1"/>
      <c r="Q42" s="1"/>
      <c r="R42" s="1" t="s">
        <v>279</v>
      </c>
      <c r="S42" s="20" t="s">
        <v>388</v>
      </c>
      <c r="T42" s="1"/>
      <c r="U42" s="20" t="s">
        <v>280</v>
      </c>
      <c r="V42" s="1"/>
      <c r="W42" s="1"/>
      <c r="X42" s="20" t="s">
        <v>330</v>
      </c>
      <c r="Y42" s="4"/>
      <c r="Z42" s="26" t="e">
        <v>#N/A</v>
      </c>
      <c r="AA42" s="4"/>
      <c r="AB42" s="4"/>
      <c r="AC42" s="4"/>
      <c r="AD42" s="4"/>
      <c r="AE42" s="4"/>
      <c r="AF42" s="4"/>
      <c r="AG42" s="4"/>
    </row>
    <row r="43" spans="1:33" ht="15.75" thickBot="1" x14ac:dyDescent="0.3">
      <c r="A43" s="22" t="s">
        <v>274</v>
      </c>
      <c r="B43" s="20" t="s">
        <v>292</v>
      </c>
      <c r="C43" s="20">
        <v>24471065</v>
      </c>
      <c r="D43" s="1" t="s">
        <v>37</v>
      </c>
      <c r="E43" s="20">
        <v>339721137</v>
      </c>
      <c r="F43" s="1" t="s">
        <v>276</v>
      </c>
      <c r="G43" s="23">
        <v>45911</v>
      </c>
      <c r="H43" s="20">
        <v>0</v>
      </c>
      <c r="I43" s="20" t="s">
        <v>365</v>
      </c>
      <c r="J43" s="1"/>
      <c r="K43" s="1"/>
      <c r="L43" s="20">
        <v>775643404</v>
      </c>
      <c r="M43" s="23">
        <v>45912</v>
      </c>
      <c r="N43" s="1" t="s">
        <v>278</v>
      </c>
      <c r="O43" s="1"/>
      <c r="P43" s="1"/>
      <c r="Q43" s="1"/>
      <c r="R43" s="1" t="s">
        <v>279</v>
      </c>
      <c r="S43" s="20" t="s">
        <v>388</v>
      </c>
      <c r="T43" s="1"/>
      <c r="U43" s="20" t="s">
        <v>280</v>
      </c>
      <c r="V43" s="1"/>
      <c r="W43" s="1"/>
      <c r="X43" s="20" t="s">
        <v>366</v>
      </c>
      <c r="Y43" s="4"/>
      <c r="Z43" s="26" t="e">
        <v>#N/A</v>
      </c>
      <c r="AA43" s="4"/>
      <c r="AB43" s="4"/>
      <c r="AC43" s="4"/>
      <c r="AD43" s="4"/>
      <c r="AE43" s="4"/>
      <c r="AF43" s="4"/>
      <c r="AG43" s="4"/>
    </row>
  </sheetData>
  <autoFilter ref="A1:AA4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ADSL</vt:lpstr>
      <vt:lpstr>5G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Hamidou Mouhamadou DJIGO [SNT DRPS/BBI/PPC/CAP]</dc:creator>
  <cp:lastModifiedBy>DELL</cp:lastModifiedBy>
  <dcterms:created xsi:type="dcterms:W3CDTF">2025-09-11T15:17:27Z</dcterms:created>
  <dcterms:modified xsi:type="dcterms:W3CDTF">2025-09-17T12:56:39Z</dcterms:modified>
</cp:coreProperties>
</file>